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Sheet2" sheetId="9" r:id="rId1"/>
    <sheet name="汇总" sheetId="14" r:id="rId2"/>
    <sheet name="龙旗" sheetId="10" r:id="rId3"/>
    <sheet name="华泾嘉华" sheetId="11" r:id="rId4"/>
    <sheet name="无锡XDG-2021-104号地块" sheetId="12" r:id="rId5"/>
    <sheet name="交子公园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<sst xmlns="http://schemas.openxmlformats.org/spreadsheetml/2006/main" count="1041" uniqueCount="128">
  <si>
    <t xml:space="preserve">报     价     单                                                                       </t>
  </si>
  <si>
    <t>设备名称</t>
  </si>
  <si>
    <t>型号规格</t>
  </si>
  <si>
    <t>流量(m3/h)</t>
  </si>
  <si>
    <t>扬程(m)</t>
  </si>
  <si>
    <t>转速（r/min）</t>
  </si>
  <si>
    <t>功率   (kW)</t>
  </si>
  <si>
    <t>材质</t>
  </si>
  <si>
    <t>配套零件品牌</t>
  </si>
  <si>
    <t xml:space="preserve">数量（台）        </t>
  </si>
  <si>
    <t>税率</t>
  </si>
  <si>
    <t>单价（元）</t>
  </si>
  <si>
    <t>总 价（元）</t>
  </si>
  <si>
    <t>备   注</t>
  </si>
  <si>
    <t>泵体</t>
  </si>
  <si>
    <t>泵盖</t>
  </si>
  <si>
    <t>叶轮</t>
  </si>
  <si>
    <t>泵轴</t>
  </si>
  <si>
    <t>机封</t>
  </si>
  <si>
    <t>叶轮螺母</t>
  </si>
  <si>
    <t>轴套</t>
  </si>
  <si>
    <t>水泵底座</t>
  </si>
  <si>
    <t>联轴器</t>
  </si>
  <si>
    <t>泵体密封环</t>
  </si>
  <si>
    <t>密封压盖</t>
  </si>
  <si>
    <t>电机防护等级</t>
  </si>
  <si>
    <t>电机能效</t>
  </si>
  <si>
    <t>轴承</t>
  </si>
  <si>
    <t>电机</t>
  </si>
  <si>
    <t>立式单级离心泵</t>
  </si>
  <si>
    <t>卧式单级离心泵</t>
  </si>
  <si>
    <t>立式单级双吸离心泵</t>
  </si>
  <si>
    <t>卧式单级双吸离心泵</t>
  </si>
  <si>
    <t>合计</t>
  </si>
  <si>
    <t>品牌</t>
  </si>
  <si>
    <t>e-HSD 8x10x14
卧式双吸泵 承压1.6Mpa</t>
  </si>
  <si>
    <t>铸铁</t>
  </si>
  <si>
    <t>不锈钢</t>
  </si>
  <si>
    <t>碳化硅和石墨</t>
  </si>
  <si>
    <t>碳钢</t>
  </si>
  <si>
    <t>丁腈橡胶</t>
  </si>
  <si>
    <t>IP55</t>
  </si>
  <si>
    <t>IE3</t>
  </si>
  <si>
    <t>SKF</t>
  </si>
  <si>
    <t>ABB</t>
  </si>
  <si>
    <t>约翰克兰</t>
  </si>
  <si>
    <t>赛莱默</t>
  </si>
  <si>
    <t>2025.7.7，货到现场合格后2月付至到货金额70%，竣工验收付至80%，结算付至97%，3%质保2年</t>
  </si>
  <si>
    <t>e1610 5D
卧式端吸泵 承压1.6Mpa</t>
  </si>
  <si>
    <t>e1610 6D
卧式端吸泵 承压1.6Mpa</t>
  </si>
  <si>
    <t>e1610 6DZ
卧式端吸泵 承压1.6Mpa</t>
  </si>
  <si>
    <t>e1610 4DZ
卧式端吸泵 承压1.6Mpa</t>
  </si>
  <si>
    <t>e1610 5EZ
卧式端吸泵 承压1.6Mpa</t>
  </si>
  <si>
    <t>e1610 4D
卧式端吸泵 承压1.6Mpa</t>
  </si>
  <si>
    <t>卧式端吸泵</t>
  </si>
  <si>
    <t xml:space="preserve">ETB 125-100-315 </t>
  </si>
  <si>
    <t>260号铸铁</t>
  </si>
  <si>
    <t>含12-13%铬的不锈钢</t>
  </si>
  <si>
    <t>碳化钨-巴氏合金及不锈钢弹簧</t>
  </si>
  <si>
    <t>可替换式，未经硬化处理的含12-13%铬的316不锈钢</t>
  </si>
  <si>
    <t>槽钢底座</t>
  </si>
  <si>
    <t>铸钢</t>
  </si>
  <si>
    <t>乙丙橡胶</t>
  </si>
  <si>
    <t>二级</t>
  </si>
  <si>
    <t>NSK,NTN,SKF</t>
  </si>
  <si>
    <t>ABB IE4</t>
  </si>
  <si>
    <t>KSB</t>
  </si>
  <si>
    <t>2025.12.24，货到现场一个月内付至货款的95%（其中50%：一建6个月商票；50%：现金电汇）。全部货物送至现场后，供方开具到货总金额5%的两年期银行质量保函，买方支付至结算金额的100%。</t>
  </si>
  <si>
    <t xml:space="preserve">ETB 080-065-315 </t>
  </si>
  <si>
    <t xml:space="preserve">ETB 200-150-400 </t>
  </si>
  <si>
    <t>ETB 125-100-400</t>
  </si>
  <si>
    <t>单级离心泵（管道泵）</t>
  </si>
  <si>
    <t xml:space="preserve">ETL 065-065-160 </t>
  </si>
  <si>
    <t>无需</t>
  </si>
  <si>
    <t>立式端吸泵（管道泵）</t>
  </si>
  <si>
    <t>卧式双吸泵</t>
  </si>
  <si>
    <t xml:space="preserve">Omega125-290 </t>
  </si>
  <si>
    <t>Omega200-320B</t>
  </si>
  <si>
    <t>立式端吸泵（KSB管道泵）</t>
  </si>
  <si>
    <t xml:space="preserve">ETL 032-032-160 </t>
  </si>
  <si>
    <t xml:space="preserve">ETL 050-050-160  </t>
  </si>
  <si>
    <t>卧式泵，放置雨水收集池内</t>
  </si>
  <si>
    <t xml:space="preserve">ETB 032-032-160  </t>
  </si>
  <si>
    <t>KSB IE4</t>
  </si>
  <si>
    <t>立式泵（KSB管道泵）</t>
  </si>
  <si>
    <t xml:space="preserve">ETL 032-032-160  </t>
  </si>
  <si>
    <t>立式泵</t>
  </si>
  <si>
    <t>MovitecVCF015/03</t>
  </si>
  <si>
    <t>SCH200/320-55/4</t>
  </si>
  <si>
    <t>SS304</t>
  </si>
  <si>
    <t>碳化硅-石墨</t>
  </si>
  <si>
    <t>无</t>
  </si>
  <si>
    <t>青铜</t>
  </si>
  <si>
    <t>IP55/F</t>
  </si>
  <si>
    <t>GB2</t>
  </si>
  <si>
    <t>NSK</t>
  </si>
  <si>
    <t>WILO</t>
  </si>
  <si>
    <t>威乐</t>
  </si>
  <si>
    <t>无预付款，货到现场验收合格2月后付至送货金额80%，竣工验收后付至90%，结算移交档案后付至95%，5%质保2年，供方接受以商票形式支付货款</t>
  </si>
  <si>
    <t>N 125/250-18.5/4</t>
  </si>
  <si>
    <t>N 80/200-5.5/4</t>
  </si>
  <si>
    <t>空调供暖循环水泵</t>
  </si>
  <si>
    <t>I 125/315-30/4</t>
  </si>
  <si>
    <t>I 100/295-15/4</t>
  </si>
  <si>
    <t>I 125/295-18.5/4</t>
  </si>
  <si>
    <t>商业mall生活给水（主泵）</t>
  </si>
  <si>
    <t>MVI7004/2</t>
  </si>
  <si>
    <t>商业mall生活给水（辅泵）</t>
  </si>
  <si>
    <t>Helix FIRST V 2206</t>
  </si>
  <si>
    <t>街商生活给水（主泵）</t>
  </si>
  <si>
    <t>街商生活给水（辅泵）</t>
  </si>
  <si>
    <t>碳化硅/石墨</t>
  </si>
  <si>
    <t>办公区域生活泵房（主泵）</t>
  </si>
  <si>
    <t>办公区域生活泵房（辅泵）</t>
  </si>
  <si>
    <t>Helix FIRST V 414</t>
  </si>
  <si>
    <t>商业冷却塔变频泵组</t>
  </si>
  <si>
    <t>Helix FIRST V 3603</t>
  </si>
  <si>
    <t>办公区域生活泵房（泵房）</t>
  </si>
  <si>
    <t>Helix FIRST V 1009</t>
  </si>
  <si>
    <t>数量（台）</t>
  </si>
  <si>
    <t>卧式端吸泵(变频)</t>
  </si>
  <si>
    <t>Q=135m3/h H=320kpa,
N=18.5KW,工作压力1.0MPa</t>
  </si>
  <si>
    <t>荏原</t>
  </si>
  <si>
    <t>2025.3.4，无预付款，货到现场验收合格后一月付至送货金额的80%，结算并移交档案验收后付至结算金额的90%，审计后付至不超审计金额的97%，3%质保2年，无息支付</t>
  </si>
  <si>
    <t>Q=50m3/h H=215kpa,
N=7.5KW,工作压力1.0MPa</t>
  </si>
  <si>
    <r>
      <rPr>
        <sz val="10"/>
        <color rgb="FF203040"/>
        <rFont val="宋体"/>
        <charset val="134"/>
      </rPr>
      <t>荏</t>
    </r>
    <r>
      <rPr>
        <sz val="10"/>
        <color rgb="FF506070"/>
        <rFont val="宋体"/>
        <charset val="134"/>
      </rPr>
      <t>原</t>
    </r>
  </si>
  <si>
    <t>Q=135m3/h H=320kpa,
N=18.5KW,工作压力1.6MPa</t>
  </si>
  <si>
    <t>Q=55m3/h H=225kna.
N=7.5KW,工作压力1.6MPa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</si>
</sst>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7">
    <font>
      <sz val="12"/>
      <name val="宋体"/>
      <charset val="134"/>
    </font>
    <font>
      <sz val="10"/>
      <name val="等线"/>
      <charset val="134"/>
    </font>
    <font>
      <sz val="10"/>
      <name val="宋体"/>
      <charset val="134"/>
    </font>
    <font>
      <sz val="10"/>
      <color rgb="FF305050"/>
      <name val="宋体"/>
      <charset val="134"/>
    </font>
    <font>
      <sz val="10"/>
      <color rgb="FF000000"/>
      <name val="宋体"/>
      <charset val="134"/>
    </font>
    <font>
      <sz val="10"/>
      <color rgb="FF203040"/>
      <name val="宋体"/>
      <charset val="134"/>
    </font>
    <font>
      <sz val="10"/>
      <color rgb="FF406060"/>
      <name val="宋体"/>
      <charset val="134"/>
    </font>
    <font>
      <sz val="10"/>
      <color rgb="FF304050"/>
      <name val="宋体"/>
      <charset val="134"/>
    </font>
    <font>
      <sz val="10"/>
      <color rgb="FF204050"/>
      <name val="宋体"/>
      <charset val="134"/>
    </font>
    <font>
      <sz val="10"/>
      <color rgb="FF305060"/>
      <name val="宋体"/>
      <charset val="134"/>
    </font>
    <font>
      <sz val="11"/>
      <name val="等线"/>
      <charset val="134"/>
    </font>
    <font>
      <sz val="12"/>
      <name val="等线"/>
      <charset val="134"/>
    </font>
    <font>
      <sz val="10"/>
      <name val="Verdana"/>
      <charset val="134"/>
    </font>
    <font>
      <sz val="10"/>
      <color indexed="8"/>
      <name val="Verdana"/>
      <charset val="134"/>
    </font>
    <font>
      <sz val="12"/>
      <color theme="1"/>
      <name val="仿宋"/>
      <charset val="134"/>
    </font>
    <font>
      <sz val="10.5"/>
      <name val="等线"/>
      <charset val="134"/>
    </font>
    <font>
      <sz val="9"/>
      <name val="仿宋"/>
      <charset val="134"/>
    </font>
    <font>
      <b/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2"/>
      <name val="Times New Roman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"/>
      <color rgb="FF50607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2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3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6" applyNumberFormat="0" applyAlignment="0" applyProtection="0">
      <alignment vertical="center"/>
    </xf>
    <xf numFmtId="0" fontId="28" fillId="5" borderId="17" applyNumberFormat="0" applyAlignment="0" applyProtection="0">
      <alignment vertical="center"/>
    </xf>
    <xf numFmtId="0" fontId="29" fillId="5" borderId="16" applyNumberFormat="0" applyAlignment="0" applyProtection="0">
      <alignment vertical="center"/>
    </xf>
    <xf numFmtId="0" fontId="30" fillId="6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40" fillId="0" borderId="0"/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8" fillId="48" borderId="25" applyNumberFormat="0" applyAlignment="0" applyProtection="0">
      <alignment vertical="center"/>
    </xf>
    <xf numFmtId="0" fontId="49" fillId="49" borderId="2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53" fillId="54" borderId="0" applyNumberFormat="0" applyBorder="0" applyAlignment="0" applyProtection="0">
      <alignment vertical="center"/>
    </xf>
    <xf numFmtId="0" fontId="54" fillId="48" borderId="28" applyNumberFormat="0" applyAlignment="0" applyProtection="0">
      <alignment vertical="center"/>
    </xf>
    <xf numFmtId="0" fontId="55" fillId="39" borderId="25" applyNumberFormat="0" applyAlignment="0" applyProtection="0">
      <alignment vertical="center"/>
    </xf>
    <xf numFmtId="0" fontId="0" fillId="55" borderId="29" applyNumberFormat="0" applyFont="0" applyAlignment="0" applyProtection="0">
      <alignment vertical="center"/>
    </xf>
    <xf numFmtId="0" fontId="38" fillId="0" borderId="0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76" fontId="13" fillId="2" borderId="1" xfId="91" applyNumberFormat="1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10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</cellXfs>
  <cellStyles count="9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_Sheet1" xfId="67"/>
    <cellStyle name="标题 1 2" xfId="68"/>
    <cellStyle name="标题 2 2" xfId="69"/>
    <cellStyle name="标题 3 2" xfId="70"/>
    <cellStyle name="标题 4 2" xfId="71"/>
    <cellStyle name="标题 5" xfId="72"/>
    <cellStyle name="差 2" xfId="73"/>
    <cellStyle name="好 2" xfId="74"/>
    <cellStyle name="汇总 2" xfId="75"/>
    <cellStyle name="计算 2" xfId="76"/>
    <cellStyle name="检查单元格 2" xfId="77"/>
    <cellStyle name="解释性文本 2" xfId="78"/>
    <cellStyle name="警告文本 2" xfId="79"/>
    <cellStyle name="链接单元格 2" xfId="80"/>
    <cellStyle name="强调文字颜色 1 2" xfId="81"/>
    <cellStyle name="强调文字颜色 2 2" xfId="82"/>
    <cellStyle name="强调文字颜色 3 2" xfId="83"/>
    <cellStyle name="强调文字颜色 4 2" xfId="84"/>
    <cellStyle name="强调文字颜色 5 2" xfId="85"/>
    <cellStyle name="强调文字颜色 6 2" xfId="86"/>
    <cellStyle name="适中 2" xfId="87"/>
    <cellStyle name="输出 2" xfId="88"/>
    <cellStyle name="输入 2" xfId="89"/>
    <cellStyle name="注释 2" xfId="90"/>
    <cellStyle name="常规 32" xfId="9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7271" name="Picture 2" descr="sb-1"/>
        <xdr:cNvPicPr>
          <a:picLocks noChangeAspect="1" noChangeArrowheads="1"/>
        </xdr:cNvPicPr>
      </xdr:nvPicPr>
      <xdr:blipFill>
        <a:blip r:embed="rId1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0" y="133731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7272" name="Picture 3" descr="sb-1"/>
        <xdr:cNvPicPr>
          <a:picLocks noChangeAspect="1" noChangeArrowheads="1"/>
        </xdr:cNvPicPr>
      </xdr:nvPicPr>
      <xdr:blipFill>
        <a:blip r:embed="rId1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0" y="133731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7273" name="Picture 6" descr="sb-1"/>
        <xdr:cNvPicPr>
          <a:picLocks noChangeAspect="1" noChangeArrowheads="1"/>
        </xdr:cNvPicPr>
      </xdr:nvPicPr>
      <xdr:blipFill>
        <a:blip r:embed="rId1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0" y="133731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7274" name="Picture 8" descr="sb-1"/>
        <xdr:cNvPicPr>
          <a:picLocks noChangeAspect="1" noChangeArrowheads="1"/>
        </xdr:cNvPicPr>
      </xdr:nvPicPr>
      <xdr:blipFill>
        <a:blip r:embed="rId1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0" y="133731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7275" name="Picture 9" descr="sb-1"/>
        <xdr:cNvPicPr>
          <a:picLocks noChangeAspect="1" noChangeArrowheads="1"/>
        </xdr:cNvPicPr>
      </xdr:nvPicPr>
      <xdr:blipFill>
        <a:blip r:embed="rId1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00" y="133731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zoomScale="70" zoomScaleNormal="70" workbookViewId="0">
      <selection activeCell="A2" sqref="A2:AA3"/>
    </sheetView>
  </sheetViews>
  <sheetFormatPr defaultColWidth="8.75" defaultRowHeight="35.1" customHeight="1"/>
  <cols>
    <col min="1" max="1" width="16.75" style="53" customWidth="1"/>
    <col min="2" max="2" width="8.25" style="53" customWidth="1"/>
    <col min="3" max="3" width="9.5" style="53" customWidth="1"/>
    <col min="4" max="4" width="7.125" style="53" customWidth="1"/>
    <col min="5" max="5" width="11.875" style="53" customWidth="1"/>
    <col min="6" max="6" width="6.25" style="53" customWidth="1"/>
    <col min="7" max="11" width="6.375" style="53" customWidth="1"/>
    <col min="12" max="14" width="8.75" style="53" customWidth="1"/>
    <col min="15" max="15" width="6.375" style="53" customWidth="1"/>
    <col min="16" max="16" width="11.75" style="53" customWidth="1"/>
    <col min="17" max="17" width="8.625" style="53" customWidth="1"/>
    <col min="18" max="22" width="6.375" style="53" customWidth="1"/>
    <col min="23" max="24" width="6.75" style="53" customWidth="1"/>
    <col min="25" max="25" width="7" style="53" customWidth="1"/>
    <col min="26" max="26" width="7.75" style="53" customWidth="1"/>
    <col min="27" max="27" width="11" style="53" customWidth="1"/>
    <col min="28" max="16384" width="8.75" style="53"/>
  </cols>
  <sheetData>
    <row r="1" customHeight="1" spans="1:27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customHeight="1" spans="1:27">
      <c r="A2" s="38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9" t="s">
        <v>7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40" t="s">
        <v>8</v>
      </c>
      <c r="U2" s="41"/>
      <c r="V2" s="42"/>
      <c r="W2" s="38" t="s">
        <v>9</v>
      </c>
      <c r="X2" s="43" t="s">
        <v>10</v>
      </c>
      <c r="Y2" s="38" t="s">
        <v>11</v>
      </c>
      <c r="Z2" s="38" t="s">
        <v>12</v>
      </c>
      <c r="AA2" s="45" t="s">
        <v>13</v>
      </c>
    </row>
    <row r="3" customHeight="1" spans="1:27">
      <c r="A3" s="2"/>
      <c r="B3" s="2"/>
      <c r="C3" s="2"/>
      <c r="D3" s="2"/>
      <c r="E3" s="2"/>
      <c r="F3" s="2"/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46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18</v>
      </c>
      <c r="W3" s="2"/>
      <c r="X3" s="47"/>
      <c r="Y3" s="2"/>
      <c r="Z3" s="2"/>
      <c r="AA3" s="48"/>
    </row>
    <row r="4" customHeight="1" spans="1:27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6"/>
      <c r="Z4" s="26"/>
      <c r="AA4" s="48"/>
    </row>
    <row r="5" customHeight="1" spans="1:27">
      <c r="A5" s="2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6"/>
      <c r="Z5" s="26"/>
      <c r="AA5" s="48"/>
    </row>
    <row r="6" customHeight="1" spans="1:27">
      <c r="A6" s="2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6"/>
      <c r="Z6" s="26"/>
      <c r="AA6" s="48"/>
    </row>
    <row r="7" customHeight="1" spans="1:27">
      <c r="A7" s="2" t="s">
        <v>32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6"/>
      <c r="Z7" s="26"/>
      <c r="AA7" s="48"/>
    </row>
    <row r="8" customHeight="1" spans="1:2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6"/>
      <c r="Z8" s="26"/>
      <c r="AA8" s="48"/>
    </row>
    <row r="9" customHeight="1" spans="1:2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6"/>
      <c r="Z9" s="26"/>
      <c r="AA9" s="48"/>
    </row>
    <row r="10" customHeight="1" spans="1:27">
      <c r="A10" s="56" t="s">
        <v>33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17"/>
      <c r="X10" s="17"/>
      <c r="Y10" s="17"/>
      <c r="Z10" s="57"/>
      <c r="AA10" s="58"/>
    </row>
  </sheetData>
  <mergeCells count="14">
    <mergeCell ref="G2:S2"/>
    <mergeCell ref="T2:V2"/>
    <mergeCell ref="B10:F10"/>
    <mergeCell ref="A2:A3"/>
    <mergeCell ref="B2:B3"/>
    <mergeCell ref="C2:C3"/>
    <mergeCell ref="D2:D3"/>
    <mergeCell ref="E2:E3"/>
    <mergeCell ref="F2:F3"/>
    <mergeCell ref="W2:W3"/>
    <mergeCell ref="X2:X3"/>
    <mergeCell ref="Y2:Y3"/>
    <mergeCell ref="Z2:Z3"/>
    <mergeCell ref="AA2:AA3"/>
  </mergeCells>
  <pageMargins left="0.86" right="0.2" top="0.39" bottom="0.748031496062992" header="0.31496062992126" footer="0.3149606299212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8"/>
  <sheetViews>
    <sheetView tabSelected="1" zoomScale="55" zoomScaleNormal="55" workbookViewId="0">
      <selection activeCell="B7" sqref="B7"/>
    </sheetView>
  </sheetViews>
  <sheetFormatPr defaultColWidth="8.66666666666667" defaultRowHeight="15"/>
  <cols>
    <col min="1" max="1" width="27.25" customWidth="1"/>
    <col min="2" max="2" width="47.3333333333333" customWidth="1"/>
    <col min="3" max="3" width="8.83333333333333" customWidth="1"/>
    <col min="4" max="4" width="6.33333333333333" customWidth="1"/>
    <col min="5" max="5" width="11.1666666666667" customWidth="1"/>
    <col min="6" max="6" width="8.41666666666667" customWidth="1"/>
    <col min="7" max="7" width="7.41666666666667" customWidth="1"/>
    <col min="8" max="8" width="10.5" customWidth="1"/>
    <col min="9" max="9" width="7.41666666666667" customWidth="1"/>
    <col min="10" max="10" width="20.5833333333333" customWidth="1"/>
    <col min="11" max="11" width="30.5833333333333" customWidth="1"/>
    <col min="12" max="12" width="7.41666666666667" customWidth="1"/>
    <col min="13" max="13" width="50.6666666666667" customWidth="1"/>
    <col min="14" max="14" width="9.41666666666667" customWidth="1"/>
    <col min="15" max="15" width="5.58333333333333" customWidth="1"/>
    <col min="16" max="16" width="9.75" customWidth="1"/>
    <col min="17" max="18" width="7.41666666666667" customWidth="1"/>
    <col min="19" max="19" width="7.25" customWidth="1"/>
    <col min="20" max="20" width="12.75" customWidth="1"/>
    <col min="21" max="21" width="8.41666666666667" customWidth="1"/>
    <col min="22" max="22" width="9.41666666666667" customWidth="1"/>
    <col min="23" max="23" width="8.91666666666667" customWidth="1"/>
    <col min="24" max="24" width="12.6666666666667" customWidth="1"/>
    <col min="25" max="26" width="11.5833333333333" customWidth="1"/>
    <col min="27" max="27" width="7.41666666666667" customWidth="1"/>
    <col min="28" max="28" width="53.175" style="16" customWidth="1"/>
  </cols>
  <sheetData>
    <row r="1" spans="1:28">
      <c r="A1" s="38" t="s">
        <v>1</v>
      </c>
      <c r="B1" s="38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9" t="s">
        <v>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40" t="s">
        <v>8</v>
      </c>
      <c r="U1" s="41"/>
      <c r="V1" s="42"/>
      <c r="W1" s="38" t="s">
        <v>9</v>
      </c>
      <c r="X1" s="43" t="s">
        <v>10</v>
      </c>
      <c r="Y1" s="38" t="s">
        <v>11</v>
      </c>
      <c r="Z1" s="38" t="s">
        <v>12</v>
      </c>
      <c r="AA1" s="44" t="s">
        <v>34</v>
      </c>
      <c r="AB1" s="49" t="s">
        <v>13</v>
      </c>
    </row>
    <row r="2" ht="26" spans="1:28">
      <c r="A2" s="18"/>
      <c r="B2" s="18"/>
      <c r="C2" s="18"/>
      <c r="D2" s="18"/>
      <c r="E2" s="18"/>
      <c r="F2" s="18"/>
      <c r="G2" s="18" t="s">
        <v>14</v>
      </c>
      <c r="H2" s="18" t="s">
        <v>15</v>
      </c>
      <c r="I2" s="18" t="s">
        <v>16</v>
      </c>
      <c r="J2" s="18" t="s">
        <v>17</v>
      </c>
      <c r="K2" s="18" t="s">
        <v>18</v>
      </c>
      <c r="L2" s="18" t="s">
        <v>19</v>
      </c>
      <c r="M2" s="18" t="s">
        <v>20</v>
      </c>
      <c r="N2" s="18" t="s">
        <v>21</v>
      </c>
      <c r="O2" s="18" t="s">
        <v>22</v>
      </c>
      <c r="P2" s="46" t="s">
        <v>23</v>
      </c>
      <c r="Q2" s="18" t="s">
        <v>24</v>
      </c>
      <c r="R2" s="18" t="s">
        <v>25</v>
      </c>
      <c r="S2" s="18" t="s">
        <v>26</v>
      </c>
      <c r="T2" s="18" t="s">
        <v>27</v>
      </c>
      <c r="U2" s="18" t="s">
        <v>28</v>
      </c>
      <c r="V2" s="18" t="s">
        <v>18</v>
      </c>
      <c r="W2" s="18"/>
      <c r="X2" s="50"/>
      <c r="Y2" s="18"/>
      <c r="Z2" s="18"/>
      <c r="AA2" s="51"/>
      <c r="AB2" s="52"/>
    </row>
    <row r="3" ht="30" spans="1:28">
      <c r="A3" s="20" t="str" cm="1">
        <f t="array" ref="A3:AB48">_xlfn._xlws.FILTER(_xlfn.VSTACK(龙旗:交子公园!A3:AB300),_xlfn.VSTACK(龙旗:交子公园!A3:A300)&lt;&gt;0)</f>
        <v>卧式单级双吸离心泵</v>
      </c>
      <c r="B3" s="20" t="str">
        <v>e-HSD 8x10x14
卧式双吸泵 承压1.6Mpa</v>
      </c>
      <c r="C3" s="20">
        <v>600</v>
      </c>
      <c r="D3" s="20">
        <v>30</v>
      </c>
      <c r="E3" s="20">
        <v>1450</v>
      </c>
      <c r="F3" s="20">
        <v>75</v>
      </c>
      <c r="G3" s="20" t="str">
        <v>铸铁</v>
      </c>
      <c r="H3" s="20" t="str">
        <v>铸铁</v>
      </c>
      <c r="I3" s="20" t="str">
        <v>不锈钢</v>
      </c>
      <c r="J3" s="20" t="str">
        <v>不锈钢</v>
      </c>
      <c r="K3" s="20" t="str">
        <v>碳化硅和石墨</v>
      </c>
      <c r="L3" s="20" t="str">
        <v>不锈钢</v>
      </c>
      <c r="M3" s="20" t="str">
        <v>不锈钢</v>
      </c>
      <c r="N3" s="20" t="str">
        <v>铸铁</v>
      </c>
      <c r="O3" s="20" t="str">
        <v>碳钢</v>
      </c>
      <c r="P3" s="20" t="str">
        <v>丁腈橡胶</v>
      </c>
      <c r="Q3" s="20" t="str">
        <v>铸铁</v>
      </c>
      <c r="R3" s="20" t="str">
        <v>IP55</v>
      </c>
      <c r="S3" s="20" t="str">
        <v>IE3</v>
      </c>
      <c r="T3" s="20" t="str">
        <v>SKF</v>
      </c>
      <c r="U3" s="20" t="str">
        <v>ABB</v>
      </c>
      <c r="V3" s="20" t="str">
        <v>约翰克兰</v>
      </c>
      <c r="W3" s="20">
        <v>4</v>
      </c>
      <c r="X3" s="20">
        <v>0.13</v>
      </c>
      <c r="Y3" s="20">
        <v>59269</v>
      </c>
      <c r="Z3" s="20">
        <v>237076</v>
      </c>
      <c r="AA3" s="20" t="str">
        <v>赛莱默</v>
      </c>
      <c r="AB3" s="27" t="str">
        <v>2025.7.7，货到现场合格后2月付至到货金额70%，竣工验收付至80%，结算付至97%，3%质保2年</v>
      </c>
    </row>
    <row r="4" ht="30" spans="1:28">
      <c r="A4" s="20" t="str">
        <v>卧式单级离心泵</v>
      </c>
      <c r="B4" s="20" t="str">
        <v>e1610 5D
卧式端吸泵 承压1.6Mpa</v>
      </c>
      <c r="C4" s="20">
        <v>302</v>
      </c>
      <c r="D4" s="20">
        <v>30</v>
      </c>
      <c r="E4" s="20">
        <v>1450</v>
      </c>
      <c r="F4" s="20">
        <v>37</v>
      </c>
      <c r="G4" s="20" t="str">
        <v>铸铁</v>
      </c>
      <c r="H4" s="20" t="str">
        <v>铸铁</v>
      </c>
      <c r="I4" s="20" t="str">
        <v>不锈钢</v>
      </c>
      <c r="J4" s="20" t="str">
        <v>不锈钢</v>
      </c>
      <c r="K4" s="20" t="str">
        <v>碳化硅和石墨</v>
      </c>
      <c r="L4" s="20" t="str">
        <v>不锈钢</v>
      </c>
      <c r="M4" s="20" t="str">
        <v>不锈钢</v>
      </c>
      <c r="N4" s="20" t="str">
        <v>铸铁</v>
      </c>
      <c r="O4" s="20" t="str">
        <v>碳钢</v>
      </c>
      <c r="P4" s="20" t="str">
        <v>丁腈橡胶</v>
      </c>
      <c r="Q4" s="20" t="str">
        <v>铸铁</v>
      </c>
      <c r="R4" s="20" t="str">
        <v>IP55</v>
      </c>
      <c r="S4" s="20" t="str">
        <v>IE3</v>
      </c>
      <c r="T4" s="20" t="str">
        <v>SKF</v>
      </c>
      <c r="U4" s="20" t="str">
        <v>ABB</v>
      </c>
      <c r="V4" s="20" t="str">
        <v>约翰克兰</v>
      </c>
      <c r="W4" s="20">
        <v>2</v>
      </c>
      <c r="X4" s="20">
        <v>0.13</v>
      </c>
      <c r="Y4" s="20">
        <v>25902</v>
      </c>
      <c r="Z4" s="20">
        <v>51804</v>
      </c>
      <c r="AA4" s="20" t="str">
        <v>赛莱默</v>
      </c>
      <c r="AB4" s="27" t="str">
        <v>2025.7.7，货到现场合格后2月付至到货金额70%，竣工验收付至80%，结算付至97%，3%质保2年</v>
      </c>
    </row>
    <row r="5" ht="30" spans="1:28">
      <c r="A5" s="20" t="str">
        <v>卧式单级离心泵</v>
      </c>
      <c r="B5" s="20" t="str">
        <v>e1610 6D
卧式端吸泵 承压1.6Mpa</v>
      </c>
      <c r="C5" s="20">
        <v>378</v>
      </c>
      <c r="D5" s="20">
        <v>30</v>
      </c>
      <c r="E5" s="20">
        <v>1450</v>
      </c>
      <c r="F5" s="20">
        <v>45</v>
      </c>
      <c r="G5" s="20" t="str">
        <v>铸铁</v>
      </c>
      <c r="H5" s="20" t="str">
        <v>铸铁</v>
      </c>
      <c r="I5" s="20" t="str">
        <v>不锈钢</v>
      </c>
      <c r="J5" s="20" t="str">
        <v>不锈钢</v>
      </c>
      <c r="K5" s="20" t="str">
        <v>碳化硅和石墨</v>
      </c>
      <c r="L5" s="20" t="str">
        <v>不锈钢</v>
      </c>
      <c r="M5" s="20" t="str">
        <v>不锈钢</v>
      </c>
      <c r="N5" s="20" t="str">
        <v>铸铁</v>
      </c>
      <c r="O5" s="20" t="str">
        <v>碳钢</v>
      </c>
      <c r="P5" s="20" t="str">
        <v>丁腈橡胶</v>
      </c>
      <c r="Q5" s="20" t="str">
        <v>铸铁</v>
      </c>
      <c r="R5" s="20" t="str">
        <v>IP55</v>
      </c>
      <c r="S5" s="20" t="str">
        <v>IE3</v>
      </c>
      <c r="T5" s="20" t="str">
        <v>SKF</v>
      </c>
      <c r="U5" s="20" t="str">
        <v>ABB</v>
      </c>
      <c r="V5" s="20" t="str">
        <v>约翰克兰</v>
      </c>
      <c r="W5" s="20">
        <v>2</v>
      </c>
      <c r="X5" s="20">
        <v>0.13</v>
      </c>
      <c r="Y5" s="20">
        <v>32760</v>
      </c>
      <c r="Z5" s="20">
        <v>65520</v>
      </c>
      <c r="AA5" s="20" t="str">
        <v>赛莱默</v>
      </c>
      <c r="AB5" s="27" t="str">
        <v>2025.7.7，货到现场合格后2月付至到货金额70%，竣工验收付至80%，结算付至97%，3%质保2年</v>
      </c>
    </row>
    <row r="6" ht="30" spans="1:28">
      <c r="A6" s="20" t="str">
        <v>卧式单级离心泵</v>
      </c>
      <c r="B6" s="20" t="str">
        <v>e1610 6DZ
卧式端吸泵 承压1.6Mpa</v>
      </c>
      <c r="C6" s="20">
        <v>424</v>
      </c>
      <c r="D6" s="20">
        <v>37</v>
      </c>
      <c r="E6" s="20">
        <v>1450</v>
      </c>
      <c r="F6" s="20">
        <v>55</v>
      </c>
      <c r="G6" s="20" t="str">
        <v>铸铁</v>
      </c>
      <c r="H6" s="20" t="str">
        <v>铸铁</v>
      </c>
      <c r="I6" s="20" t="str">
        <v>不锈钢</v>
      </c>
      <c r="J6" s="20" t="str">
        <v>不锈钢</v>
      </c>
      <c r="K6" s="20" t="str">
        <v>碳化硅和石墨</v>
      </c>
      <c r="L6" s="20" t="str">
        <v>不锈钢</v>
      </c>
      <c r="M6" s="20" t="str">
        <v>不锈钢</v>
      </c>
      <c r="N6" s="20" t="str">
        <v>铸铁</v>
      </c>
      <c r="O6" s="20" t="str">
        <v>碳钢</v>
      </c>
      <c r="P6" s="20" t="str">
        <v>丁腈橡胶</v>
      </c>
      <c r="Q6" s="20" t="str">
        <v>铸铁</v>
      </c>
      <c r="R6" s="20" t="str">
        <v>IP55</v>
      </c>
      <c r="S6" s="20" t="str">
        <v>IE3</v>
      </c>
      <c r="T6" s="20" t="str">
        <v>SKF</v>
      </c>
      <c r="U6" s="20" t="str">
        <v>ABB</v>
      </c>
      <c r="V6" s="20" t="str">
        <v>约翰克兰</v>
      </c>
      <c r="W6" s="20">
        <v>4</v>
      </c>
      <c r="X6" s="20">
        <v>0.13</v>
      </c>
      <c r="Y6" s="20">
        <v>38334</v>
      </c>
      <c r="Z6" s="20">
        <v>153336</v>
      </c>
      <c r="AA6" s="20" t="str">
        <v>赛莱默</v>
      </c>
      <c r="AB6" s="27" t="str">
        <v>2025.7.7，货到现场合格后2月付至到货金额70%，竣工验收付至80%，结算付至97%，3%质保2年</v>
      </c>
    </row>
    <row r="7" ht="30" spans="1:28">
      <c r="A7" s="20" t="str">
        <v>卧式单级离心泵</v>
      </c>
      <c r="B7" s="20" t="str">
        <v>e1610 4DZ
卧式端吸泵 承压1.6Mpa</v>
      </c>
      <c r="C7" s="20">
        <v>212</v>
      </c>
      <c r="D7" s="20">
        <v>37</v>
      </c>
      <c r="E7" s="20">
        <v>1450</v>
      </c>
      <c r="F7" s="20">
        <v>30</v>
      </c>
      <c r="G7" s="20" t="str">
        <v>铸铁</v>
      </c>
      <c r="H7" s="20" t="str">
        <v>铸铁</v>
      </c>
      <c r="I7" s="20" t="str">
        <v>不锈钢</v>
      </c>
      <c r="J7" s="20" t="str">
        <v>不锈钢</v>
      </c>
      <c r="K7" s="20" t="str">
        <v>碳化硅和石墨</v>
      </c>
      <c r="L7" s="20" t="str">
        <v>不锈钢</v>
      </c>
      <c r="M7" s="20" t="str">
        <v>不锈钢</v>
      </c>
      <c r="N7" s="20" t="str">
        <v>铸铁</v>
      </c>
      <c r="O7" s="20" t="str">
        <v>碳钢</v>
      </c>
      <c r="P7" s="20" t="str">
        <v>丁腈橡胶</v>
      </c>
      <c r="Q7" s="20" t="str">
        <v>铸铁</v>
      </c>
      <c r="R7" s="20" t="str">
        <v>IP55</v>
      </c>
      <c r="S7" s="20" t="str">
        <v>IE3</v>
      </c>
      <c r="T7" s="20" t="str">
        <v>SKF</v>
      </c>
      <c r="U7" s="20" t="str">
        <v>ABB</v>
      </c>
      <c r="V7" s="20" t="str">
        <v>约翰克兰</v>
      </c>
      <c r="W7" s="20">
        <v>2</v>
      </c>
      <c r="X7" s="20">
        <v>0.13</v>
      </c>
      <c r="Y7" s="20">
        <v>23446</v>
      </c>
      <c r="Z7" s="20">
        <v>46892</v>
      </c>
      <c r="AA7" s="20" t="str">
        <v>赛莱默</v>
      </c>
      <c r="AB7" s="27" t="str">
        <v>2025.7.7，货到现场合格后2月付至到货金额70%，竣工验收付至80%，结算付至97%，3%质保2年</v>
      </c>
    </row>
    <row r="8" ht="30" spans="1:28">
      <c r="A8" s="20" t="str">
        <v>卧式单级离心泵</v>
      </c>
      <c r="B8" s="20" t="str">
        <v>e1610 5EZ
卧式端吸泵 承压1.6Mpa</v>
      </c>
      <c r="C8" s="20">
        <v>265</v>
      </c>
      <c r="D8" s="20">
        <v>37</v>
      </c>
      <c r="E8" s="20">
        <v>1450</v>
      </c>
      <c r="F8" s="20">
        <v>45</v>
      </c>
      <c r="G8" s="20" t="str">
        <v>铸铁</v>
      </c>
      <c r="H8" s="20" t="str">
        <v>铸铁</v>
      </c>
      <c r="I8" s="20" t="str">
        <v>不锈钢</v>
      </c>
      <c r="J8" s="20" t="str">
        <v>不锈钢</v>
      </c>
      <c r="K8" s="20" t="str">
        <v>碳化硅和石墨</v>
      </c>
      <c r="L8" s="20" t="str">
        <v>不锈钢</v>
      </c>
      <c r="M8" s="20" t="str">
        <v>不锈钢</v>
      </c>
      <c r="N8" s="20" t="str">
        <v>铸铁</v>
      </c>
      <c r="O8" s="20" t="str">
        <v>碳钢</v>
      </c>
      <c r="P8" s="20" t="str">
        <v>丁腈橡胶</v>
      </c>
      <c r="Q8" s="20" t="str">
        <v>铸铁</v>
      </c>
      <c r="R8" s="20" t="str">
        <v>IP55</v>
      </c>
      <c r="S8" s="20" t="str">
        <v>IE3</v>
      </c>
      <c r="T8" s="20" t="str">
        <v>SKF</v>
      </c>
      <c r="U8" s="20" t="str">
        <v>ABB</v>
      </c>
      <c r="V8" s="20" t="str">
        <v>约翰克兰</v>
      </c>
      <c r="W8" s="20">
        <v>2</v>
      </c>
      <c r="X8" s="20">
        <v>0.13</v>
      </c>
      <c r="Y8" s="20">
        <v>32183</v>
      </c>
      <c r="Z8" s="20">
        <v>64366</v>
      </c>
      <c r="AA8" s="20" t="str">
        <v>赛莱默</v>
      </c>
      <c r="AB8" s="27" t="str">
        <v>2025.7.7，货到现场合格后2月付至到货金额70%，竣工验收付至80%，结算付至97%，3%质保2年</v>
      </c>
    </row>
    <row r="9" ht="30" spans="1:28">
      <c r="A9" s="20" t="str">
        <v>卧式单级离心泵</v>
      </c>
      <c r="B9" s="20" t="str">
        <v>e1610 4D
卧式端吸泵 承压1.6Mpa</v>
      </c>
      <c r="C9" s="20">
        <v>190</v>
      </c>
      <c r="D9" s="20">
        <v>29</v>
      </c>
      <c r="E9" s="20">
        <v>1450</v>
      </c>
      <c r="F9" s="20">
        <v>22</v>
      </c>
      <c r="G9" s="20" t="str">
        <v>铸铁</v>
      </c>
      <c r="H9" s="20" t="str">
        <v>铸铁</v>
      </c>
      <c r="I9" s="20" t="str">
        <v>不锈钢</v>
      </c>
      <c r="J9" s="20" t="str">
        <v>不锈钢</v>
      </c>
      <c r="K9" s="20" t="str">
        <v>碳化硅和石墨</v>
      </c>
      <c r="L9" s="20" t="str">
        <v>不锈钢</v>
      </c>
      <c r="M9" s="20" t="str">
        <v>不锈钢</v>
      </c>
      <c r="N9" s="20" t="str">
        <v>铸铁</v>
      </c>
      <c r="O9" s="20" t="str">
        <v>碳钢</v>
      </c>
      <c r="P9" s="20" t="str">
        <v>丁腈橡胶</v>
      </c>
      <c r="Q9" s="20" t="str">
        <v>铸铁</v>
      </c>
      <c r="R9" s="20" t="str">
        <v>IP55</v>
      </c>
      <c r="S9" s="20" t="str">
        <v>IE3</v>
      </c>
      <c r="T9" s="20" t="str">
        <v>SKF</v>
      </c>
      <c r="U9" s="20" t="str">
        <v>ABB</v>
      </c>
      <c r="V9" s="20" t="str">
        <v>约翰克兰</v>
      </c>
      <c r="W9" s="20">
        <v>3</v>
      </c>
      <c r="X9" s="20">
        <v>0.13</v>
      </c>
      <c r="Y9" s="20">
        <v>20696</v>
      </c>
      <c r="Z9" s="20">
        <v>62088</v>
      </c>
      <c r="AA9" s="20" t="str">
        <v>赛莱默</v>
      </c>
      <c r="AB9" s="27" t="str">
        <v>2025.7.7，货到现场合格后2月付至到货金额70%，竣工验收付至80%，结算付至97%，3%质保2年</v>
      </c>
    </row>
    <row r="10" ht="60" spans="1:28">
      <c r="A10" s="20" t="str">
        <v>卧式端吸泵</v>
      </c>
      <c r="B10" s="20" t="str">
        <v>ETB 125-100-315 </v>
      </c>
      <c r="C10" s="20">
        <v>208</v>
      </c>
      <c r="D10" s="20">
        <v>31</v>
      </c>
      <c r="E10" s="20">
        <v>1450</v>
      </c>
      <c r="F10" s="20">
        <v>30</v>
      </c>
      <c r="G10" s="20" t="str">
        <v>铸铁</v>
      </c>
      <c r="H10" s="20" t="str">
        <v>260号铸铁</v>
      </c>
      <c r="I10" s="20" t="str">
        <v>不锈钢</v>
      </c>
      <c r="J10" s="20" t="str">
        <v>含12-13%铬的不锈钢</v>
      </c>
      <c r="K10" s="20" t="str">
        <v>碳化钨-巴氏合金及不锈钢弹簧</v>
      </c>
      <c r="L10" s="20" t="str">
        <v>不锈钢</v>
      </c>
      <c r="M10" s="20" t="str">
        <v>可替换式，未经硬化处理的含12-13%铬的316不锈钢</v>
      </c>
      <c r="N10" s="20" t="str">
        <v>槽钢底座</v>
      </c>
      <c r="O10" s="20" t="str">
        <v>铸钢</v>
      </c>
      <c r="P10" s="20" t="str">
        <v>乙丙橡胶</v>
      </c>
      <c r="Q10" s="20" t="str">
        <v>铸铁</v>
      </c>
      <c r="R10" s="20" t="str">
        <v>IP55</v>
      </c>
      <c r="S10" s="20" t="str">
        <v>二级</v>
      </c>
      <c r="T10" s="20" t="str">
        <v>NSK,NTN,SKF</v>
      </c>
      <c r="U10" s="20" t="str">
        <v>ABB IE4</v>
      </c>
      <c r="V10" s="20" t="str">
        <v>KSB</v>
      </c>
      <c r="W10" s="20">
        <v>5</v>
      </c>
      <c r="X10" s="20">
        <v>20353.982300885</v>
      </c>
      <c r="Y10" s="20">
        <v>23000</v>
      </c>
      <c r="Z10" s="20">
        <v>115000</v>
      </c>
      <c r="AA10" s="20" t="str">
        <v>KSB</v>
      </c>
      <c r="AB10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1" ht="60" spans="1:28">
      <c r="A11" s="20" t="str">
        <v>卧式端吸泵</v>
      </c>
      <c r="B11" s="20" t="str">
        <v>ETB 125-100-315 </v>
      </c>
      <c r="C11" s="20">
        <v>152</v>
      </c>
      <c r="D11" s="20">
        <v>31</v>
      </c>
      <c r="E11" s="20">
        <v>1450</v>
      </c>
      <c r="F11" s="20">
        <v>18.5</v>
      </c>
      <c r="G11" s="20" t="str">
        <v>铸铁</v>
      </c>
      <c r="H11" s="20" t="str">
        <v>260号铸铁</v>
      </c>
      <c r="I11" s="20" t="str">
        <v>不锈钢</v>
      </c>
      <c r="J11" s="20" t="str">
        <v>含12-13%铬的不锈钢</v>
      </c>
      <c r="K11" s="20" t="str">
        <v>碳化钨-巴氏合金及不锈钢弹簧</v>
      </c>
      <c r="L11" s="20" t="str">
        <v>不锈钢</v>
      </c>
      <c r="M11" s="20" t="str">
        <v>可替换式，未经硬化处理的含12-13%铬的316不锈钢</v>
      </c>
      <c r="N11" s="20" t="str">
        <v>槽钢底座</v>
      </c>
      <c r="O11" s="20" t="str">
        <v>铸铁</v>
      </c>
      <c r="P11" s="20" t="str">
        <v>乙丙橡胶</v>
      </c>
      <c r="Q11" s="20" t="str">
        <v>铸铁</v>
      </c>
      <c r="R11" s="20" t="str">
        <v>IP55</v>
      </c>
      <c r="S11" s="20" t="str">
        <v>二级</v>
      </c>
      <c r="T11" s="20" t="str">
        <v>NSK,NTN,SKF</v>
      </c>
      <c r="U11" s="20" t="str">
        <v>ABB IE4</v>
      </c>
      <c r="V11" s="20" t="str">
        <v>KSB</v>
      </c>
      <c r="W11" s="20">
        <v>4</v>
      </c>
      <c r="X11" s="20">
        <v>18584.0707964602</v>
      </c>
      <c r="Y11" s="20">
        <v>21000</v>
      </c>
      <c r="Z11" s="20">
        <v>84000</v>
      </c>
      <c r="AA11" s="20" t="str">
        <v>KSB</v>
      </c>
      <c r="AB11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2" ht="60" spans="1:28">
      <c r="A12" s="20" t="str">
        <v>卧式端吸泵</v>
      </c>
      <c r="B12" s="20" t="str">
        <v>ETB 125-100-315 </v>
      </c>
      <c r="C12" s="20">
        <v>210</v>
      </c>
      <c r="D12" s="20">
        <v>29</v>
      </c>
      <c r="E12" s="20">
        <v>1450</v>
      </c>
      <c r="F12" s="20">
        <v>30</v>
      </c>
      <c r="G12" s="20" t="str">
        <v>铸铁</v>
      </c>
      <c r="H12" s="20" t="str">
        <v>260号铸铁</v>
      </c>
      <c r="I12" s="20" t="str">
        <v>不锈钢</v>
      </c>
      <c r="J12" s="20" t="str">
        <v>含12-13%铬的不锈钢</v>
      </c>
      <c r="K12" s="20" t="str">
        <v>碳化钨-巴氏合金及不锈钢弹簧</v>
      </c>
      <c r="L12" s="20" t="str">
        <v>不锈钢</v>
      </c>
      <c r="M12" s="20" t="str">
        <v>可替换式，未经硬化处理的含12-13%铬的316不锈钢</v>
      </c>
      <c r="N12" s="20" t="str">
        <v>槽钢底座</v>
      </c>
      <c r="O12" s="20" t="str">
        <v>铸钢</v>
      </c>
      <c r="P12" s="20" t="str">
        <v>乙丙橡胶</v>
      </c>
      <c r="Q12" s="20" t="str">
        <v>铸铁</v>
      </c>
      <c r="R12" s="20" t="str">
        <v>IP55</v>
      </c>
      <c r="S12" s="20" t="str">
        <v>二级</v>
      </c>
      <c r="T12" s="20" t="str">
        <v>NSK,NTN,SKF</v>
      </c>
      <c r="U12" s="20" t="str">
        <v>ABB IE4</v>
      </c>
      <c r="V12" s="20" t="str">
        <v>KSB</v>
      </c>
      <c r="W12" s="20">
        <v>3</v>
      </c>
      <c r="X12" s="20">
        <v>23008.8495575221</v>
      </c>
      <c r="Y12" s="20">
        <v>26000</v>
      </c>
      <c r="Z12" s="20">
        <v>78000</v>
      </c>
      <c r="AA12" s="20" t="str">
        <v>KSB</v>
      </c>
      <c r="AB12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3" ht="60" spans="1:28">
      <c r="A13" s="20" t="str">
        <v>卧式端吸泵</v>
      </c>
      <c r="B13" s="20" t="str">
        <v>ETB 080-065-315 </v>
      </c>
      <c r="C13" s="20">
        <v>52</v>
      </c>
      <c r="D13" s="20">
        <v>24.6</v>
      </c>
      <c r="E13" s="20">
        <v>1450</v>
      </c>
      <c r="F13" s="20">
        <v>5.5</v>
      </c>
      <c r="G13" s="20" t="str">
        <v>铸铁</v>
      </c>
      <c r="H13" s="20" t="str">
        <v>260号铸铁</v>
      </c>
      <c r="I13" s="20" t="str">
        <v>不锈钢</v>
      </c>
      <c r="J13" s="20" t="str">
        <v>含12-13%铬的不锈钢</v>
      </c>
      <c r="K13" s="20" t="str">
        <v>碳化钨-巴氏合金及不锈钢弹簧</v>
      </c>
      <c r="L13" s="20" t="str">
        <v>不锈钢</v>
      </c>
      <c r="M13" s="20" t="str">
        <v>可替换式，未经硬化处理的含12-13%铬的316不锈钢</v>
      </c>
      <c r="N13" s="20" t="str">
        <v>槽钢底座</v>
      </c>
      <c r="O13" s="20" t="str">
        <v>铸钢</v>
      </c>
      <c r="P13" s="20" t="str">
        <v>乙丙橡胶</v>
      </c>
      <c r="Q13" s="20" t="str">
        <v>铸铁</v>
      </c>
      <c r="R13" s="20" t="str">
        <v>IP55</v>
      </c>
      <c r="S13" s="20" t="str">
        <v>二级</v>
      </c>
      <c r="T13" s="20" t="str">
        <v>NSK,NTN,SKF</v>
      </c>
      <c r="U13" s="20" t="str">
        <v>ABB IE4</v>
      </c>
      <c r="V13" s="20" t="str">
        <v>KSB</v>
      </c>
      <c r="W13" s="20">
        <v>3</v>
      </c>
      <c r="X13" s="20">
        <v>13274.3362831858</v>
      </c>
      <c r="Y13" s="20">
        <v>15000</v>
      </c>
      <c r="Z13" s="20">
        <v>45000</v>
      </c>
      <c r="AA13" s="20" t="str">
        <v>KSB</v>
      </c>
      <c r="AB13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4" ht="60" spans="1:28">
      <c r="A14" s="20" t="str">
        <v>卧式端吸泵</v>
      </c>
      <c r="B14" s="20" t="str">
        <v>ETB 200-150-400 </v>
      </c>
      <c r="C14" s="20">
        <v>444</v>
      </c>
      <c r="D14" s="20">
        <v>43</v>
      </c>
      <c r="E14" s="20">
        <v>1450</v>
      </c>
      <c r="F14" s="20">
        <v>75</v>
      </c>
      <c r="G14" s="20" t="str">
        <v>铸铁</v>
      </c>
      <c r="H14" s="20" t="str">
        <v>260号铸铁</v>
      </c>
      <c r="I14" s="20" t="str">
        <v>不锈钢</v>
      </c>
      <c r="J14" s="20" t="str">
        <v>含12-13%铬的不锈钢</v>
      </c>
      <c r="K14" s="20" t="str">
        <v>碳化钨-巴氏合金及不锈钢弹簧</v>
      </c>
      <c r="L14" s="20" t="str">
        <v>不锈钢</v>
      </c>
      <c r="M14" s="20" t="str">
        <v>可替换式，未经硬化处理的含12-13%铬的316不锈钢</v>
      </c>
      <c r="N14" s="20" t="str">
        <v>槽钢底座</v>
      </c>
      <c r="O14" s="20" t="str">
        <v>铸钢</v>
      </c>
      <c r="P14" s="20" t="str">
        <v>乙丙橡胶</v>
      </c>
      <c r="Q14" s="20" t="str">
        <v>铸铁</v>
      </c>
      <c r="R14" s="20" t="str">
        <v>IP55</v>
      </c>
      <c r="S14" s="20" t="str">
        <v>二级</v>
      </c>
      <c r="T14" s="20" t="str">
        <v>NSK,NTN,SKF</v>
      </c>
      <c r="U14" s="20" t="str">
        <v>ABB IE4</v>
      </c>
      <c r="V14" s="20" t="str">
        <v>KSB</v>
      </c>
      <c r="W14" s="20">
        <v>3</v>
      </c>
      <c r="X14" s="20">
        <v>39823.0088495575</v>
      </c>
      <c r="Y14" s="20">
        <v>45000</v>
      </c>
      <c r="Z14" s="20">
        <v>135000</v>
      </c>
      <c r="AA14" s="20" t="str">
        <v>KSB</v>
      </c>
      <c r="AB14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5" ht="60" spans="1:28">
      <c r="A15" s="20" t="str">
        <v>卧式端吸泵</v>
      </c>
      <c r="B15" s="20" t="str">
        <v>ETB 125-100-400</v>
      </c>
      <c r="C15" s="20">
        <v>194</v>
      </c>
      <c r="D15" s="20">
        <v>43</v>
      </c>
      <c r="E15" s="20">
        <v>1450</v>
      </c>
      <c r="F15" s="20">
        <v>37</v>
      </c>
      <c r="G15" s="20" t="str">
        <v>铸铁</v>
      </c>
      <c r="H15" s="20" t="str">
        <v>260号铸铁</v>
      </c>
      <c r="I15" s="20" t="str">
        <v>不锈钢</v>
      </c>
      <c r="J15" s="20" t="str">
        <v>含12-13%铬的不锈钢</v>
      </c>
      <c r="K15" s="20" t="str">
        <v>碳化钨-巴氏合金及不锈钢弹簧</v>
      </c>
      <c r="L15" s="20" t="str">
        <v>不锈钢</v>
      </c>
      <c r="M15" s="20" t="str">
        <v>可替换式，未经硬化处理的含12-13%铬的316不锈钢</v>
      </c>
      <c r="N15" s="20" t="str">
        <v>槽钢底座</v>
      </c>
      <c r="O15" s="20" t="str">
        <v>铸钢</v>
      </c>
      <c r="P15" s="20" t="str">
        <v>乙丙橡胶</v>
      </c>
      <c r="Q15" s="20" t="str">
        <v>铸铁</v>
      </c>
      <c r="R15" s="20" t="str">
        <v>IP55</v>
      </c>
      <c r="S15" s="20" t="str">
        <v>二级</v>
      </c>
      <c r="T15" s="20" t="str">
        <v>NSK,NTN,SKF</v>
      </c>
      <c r="U15" s="20" t="str">
        <v>ABB IE4</v>
      </c>
      <c r="V15" s="20" t="str">
        <v>KSB</v>
      </c>
      <c r="W15" s="20">
        <v>2</v>
      </c>
      <c r="X15" s="20">
        <v>23893.8053097345</v>
      </c>
      <c r="Y15" s="20">
        <v>27000</v>
      </c>
      <c r="Z15" s="20">
        <v>54000</v>
      </c>
      <c r="AA15" s="20" t="str">
        <v>KSB</v>
      </c>
      <c r="AB15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6" ht="60" spans="1:28">
      <c r="A16" s="20" t="str">
        <v>卧式端吸泵</v>
      </c>
      <c r="B16" s="20" t="str">
        <v>ETB 125-100-315 </v>
      </c>
      <c r="C16" s="20">
        <v>166</v>
      </c>
      <c r="D16" s="20">
        <v>26.1</v>
      </c>
      <c r="E16" s="20">
        <v>1450</v>
      </c>
      <c r="F16" s="20">
        <v>18.5</v>
      </c>
      <c r="G16" s="20" t="str">
        <v>铸铁</v>
      </c>
      <c r="H16" s="20" t="str">
        <v>260号铸铁</v>
      </c>
      <c r="I16" s="20" t="str">
        <v>不锈钢</v>
      </c>
      <c r="J16" s="20" t="str">
        <v>含12-13%铬的不锈钢</v>
      </c>
      <c r="K16" s="20" t="str">
        <v>碳化钨-巴氏合金及不锈钢弹簧</v>
      </c>
      <c r="L16" s="20" t="str">
        <v>不锈钢</v>
      </c>
      <c r="M16" s="20" t="str">
        <v>可替换式，未经硬化处理的含12-13%铬的316不锈钢</v>
      </c>
      <c r="N16" s="20" t="str">
        <v>槽钢底座</v>
      </c>
      <c r="O16" s="20" t="str">
        <v>铸钢</v>
      </c>
      <c r="P16" s="20" t="str">
        <v>乙丙橡胶</v>
      </c>
      <c r="Q16" s="20" t="str">
        <v>铸铁</v>
      </c>
      <c r="R16" s="20" t="str">
        <v>IP55</v>
      </c>
      <c r="S16" s="20" t="str">
        <v>二级</v>
      </c>
      <c r="T16" s="20" t="str">
        <v>NSK,NTN,SKF</v>
      </c>
      <c r="U16" s="20" t="str">
        <v>ABB IE4</v>
      </c>
      <c r="V16" s="20" t="str">
        <v>KSB</v>
      </c>
      <c r="W16" s="20">
        <v>3</v>
      </c>
      <c r="X16" s="20">
        <v>20353.982300885</v>
      </c>
      <c r="Y16" s="20">
        <v>23000</v>
      </c>
      <c r="Z16" s="20">
        <v>69000</v>
      </c>
      <c r="AA16" s="20" t="str">
        <v>KSB</v>
      </c>
      <c r="AB16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7" ht="60" spans="1:28">
      <c r="A17" s="20" t="str">
        <v>单级离心泵（管道泵）</v>
      </c>
      <c r="B17" s="20" t="str">
        <v>ETL 065-065-160 </v>
      </c>
      <c r="C17" s="20">
        <v>53</v>
      </c>
      <c r="D17" s="20">
        <v>23</v>
      </c>
      <c r="E17" s="20">
        <v>2900</v>
      </c>
      <c r="F17" s="20">
        <v>7.5</v>
      </c>
      <c r="G17" s="20" t="str">
        <v>铸铁</v>
      </c>
      <c r="H17" s="20" t="str">
        <v>260号铸铁</v>
      </c>
      <c r="I17" s="20" t="str">
        <v>铸铁</v>
      </c>
      <c r="J17" s="20" t="str">
        <v>含12-13%铬的不锈钢</v>
      </c>
      <c r="K17" s="20" t="str">
        <v>碳化钨-巴氏合金及不锈钢弹簧</v>
      </c>
      <c r="L17" s="20" t="str">
        <v>不锈钢</v>
      </c>
      <c r="M17" s="20" t="str">
        <v>可替换式，未经硬化处理的含12-13%铬的316不锈钢</v>
      </c>
      <c r="N17" s="20" t="str">
        <v>无需</v>
      </c>
      <c r="O17" s="20" t="str">
        <v>铸钢</v>
      </c>
      <c r="P17" s="20" t="str">
        <v>乙丙橡胶</v>
      </c>
      <c r="Q17" s="20" t="str">
        <v>铸铁</v>
      </c>
      <c r="R17" s="20" t="str">
        <v>IP55</v>
      </c>
      <c r="S17" s="20" t="str">
        <v>二级</v>
      </c>
      <c r="T17" s="20" t="str">
        <v>NSK,NTN,SKF</v>
      </c>
      <c r="U17" s="20" t="str">
        <v>ABB IE4</v>
      </c>
      <c r="V17" s="20" t="str">
        <v>KSB</v>
      </c>
      <c r="W17" s="20">
        <v>3</v>
      </c>
      <c r="X17" s="20">
        <v>13274.3362831858</v>
      </c>
      <c r="Y17" s="20">
        <v>15000</v>
      </c>
      <c r="Z17" s="20">
        <v>45000</v>
      </c>
      <c r="AA17" s="20" t="str">
        <v>KSB</v>
      </c>
      <c r="AB17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8" ht="60" spans="1:28">
      <c r="A18" s="20" t="str">
        <v>立式端吸泵（管道泵）</v>
      </c>
      <c r="B18" s="20" t="str">
        <v>ETL 065-065-160 </v>
      </c>
      <c r="C18" s="20">
        <v>50</v>
      </c>
      <c r="D18" s="20">
        <v>25</v>
      </c>
      <c r="E18" s="20">
        <v>2900</v>
      </c>
      <c r="F18" s="20">
        <v>7.5</v>
      </c>
      <c r="G18" s="20" t="str">
        <v>铸铁</v>
      </c>
      <c r="H18" s="20" t="str">
        <v>260号铸铁</v>
      </c>
      <c r="I18" s="20" t="str">
        <v>铸铁</v>
      </c>
      <c r="J18" s="20" t="str">
        <v>含12-13%铬的不锈钢</v>
      </c>
      <c r="K18" s="20" t="str">
        <v>碳化钨-巴氏合金及不锈钢弹簧</v>
      </c>
      <c r="L18" s="20" t="str">
        <v>不锈钢</v>
      </c>
      <c r="M18" s="20" t="str">
        <v>可替换式，未经硬化处理的含12-13%铬的316不锈钢</v>
      </c>
      <c r="N18" s="20" t="str">
        <v>无需</v>
      </c>
      <c r="O18" s="20" t="str">
        <v>铸钢</v>
      </c>
      <c r="P18" s="20" t="str">
        <v>乙丙橡胶</v>
      </c>
      <c r="Q18" s="20" t="str">
        <v>铸铁</v>
      </c>
      <c r="R18" s="20" t="str">
        <v>IP55</v>
      </c>
      <c r="S18" s="20" t="str">
        <v>二级</v>
      </c>
      <c r="T18" s="20" t="str">
        <v>NSK,NTN,SKF</v>
      </c>
      <c r="U18" s="20" t="str">
        <v>ABB IE4</v>
      </c>
      <c r="V18" s="20" t="str">
        <v>KSB</v>
      </c>
      <c r="W18" s="20">
        <v>3</v>
      </c>
      <c r="X18" s="20">
        <v>13274.3362831858</v>
      </c>
      <c r="Y18" s="20">
        <v>15000</v>
      </c>
      <c r="Z18" s="20">
        <v>45000</v>
      </c>
      <c r="AA18" s="20" t="str">
        <v>KSB</v>
      </c>
      <c r="AB18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19" ht="60" spans="1:28">
      <c r="A19" s="20" t="str">
        <v>卧式双吸泵</v>
      </c>
      <c r="B19" s="20" t="str">
        <v>Omega125-290 </v>
      </c>
      <c r="C19" s="20">
        <v>302</v>
      </c>
      <c r="D19" s="20">
        <v>28</v>
      </c>
      <c r="E19" s="20">
        <v>2900</v>
      </c>
      <c r="F19" s="20">
        <v>45</v>
      </c>
      <c r="G19" s="20" t="str">
        <v>铸铁</v>
      </c>
      <c r="H19" s="20" t="str">
        <v>260号铸铁</v>
      </c>
      <c r="I19" s="20" t="str">
        <v>铸铁</v>
      </c>
      <c r="J19" s="20" t="str">
        <v>含12-13%铬的不锈钢</v>
      </c>
      <c r="K19" s="20" t="str">
        <v>碳化钨-巴氏合金及不锈钢弹簧</v>
      </c>
      <c r="L19" s="20" t="str">
        <v>不锈钢</v>
      </c>
      <c r="M19" s="20" t="str">
        <v>可替换式，未经硬化处理的含12-13%铬的316不锈钢</v>
      </c>
      <c r="N19" s="20" t="str">
        <v>槽钢底座</v>
      </c>
      <c r="O19" s="20" t="str">
        <v>铸铁</v>
      </c>
      <c r="P19" s="20" t="str">
        <v>乙丙橡胶</v>
      </c>
      <c r="Q19" s="20" t="str">
        <v>铸铁</v>
      </c>
      <c r="R19" s="20" t="str">
        <v>IP55</v>
      </c>
      <c r="S19" s="20" t="str">
        <v>二级</v>
      </c>
      <c r="T19" s="20" t="str">
        <v>NSK,NTN,SKF</v>
      </c>
      <c r="U19" s="20" t="str">
        <v>ABB IE4</v>
      </c>
      <c r="V19" s="20" t="str">
        <v>KSB</v>
      </c>
      <c r="W19" s="20">
        <v>2</v>
      </c>
      <c r="X19" s="20">
        <v>32743.3628318584</v>
      </c>
      <c r="Y19" s="20">
        <v>37000</v>
      </c>
      <c r="Z19" s="20">
        <v>74000</v>
      </c>
      <c r="AA19" s="20" t="str">
        <v>KSB</v>
      </c>
      <c r="AB19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0" ht="60" spans="1:28">
      <c r="A20" s="20" t="str">
        <v>卧式双吸泵</v>
      </c>
      <c r="B20" s="20" t="str">
        <v>Omega200-320B</v>
      </c>
      <c r="C20" s="20">
        <v>692</v>
      </c>
      <c r="D20" s="20">
        <v>28</v>
      </c>
      <c r="E20" s="20">
        <v>1450</v>
      </c>
      <c r="F20" s="20">
        <v>90</v>
      </c>
      <c r="G20" s="20" t="str">
        <v>铸铁</v>
      </c>
      <c r="H20" s="20" t="str">
        <v>260号铸铁</v>
      </c>
      <c r="I20" s="20" t="str">
        <v>铸铁</v>
      </c>
      <c r="J20" s="20" t="str">
        <v>含12-13%铬的不锈钢</v>
      </c>
      <c r="K20" s="20" t="str">
        <v>碳化钨-巴氏合金及不锈钢弹簧</v>
      </c>
      <c r="L20" s="20" t="str">
        <v>不锈钢</v>
      </c>
      <c r="M20" s="20" t="str">
        <v>可替换式，未经硬化处理的含12-13%铬的316不锈钢</v>
      </c>
      <c r="N20" s="20" t="str">
        <v>槽钢底座</v>
      </c>
      <c r="O20" s="20" t="str">
        <v>铸铁</v>
      </c>
      <c r="P20" s="20" t="str">
        <v>乙丙橡胶</v>
      </c>
      <c r="Q20" s="20" t="str">
        <v>铸铁</v>
      </c>
      <c r="R20" s="20" t="str">
        <v>IP55</v>
      </c>
      <c r="S20" s="20" t="str">
        <v>二级</v>
      </c>
      <c r="T20" s="20" t="str">
        <v>NSK,NTN,SKF</v>
      </c>
      <c r="U20" s="20" t="str">
        <v>ABB IE4</v>
      </c>
      <c r="V20" s="20" t="str">
        <v>KSB</v>
      </c>
      <c r="W20" s="20">
        <v>3</v>
      </c>
      <c r="X20" s="20">
        <v>66371.6814159292</v>
      </c>
      <c r="Y20" s="20">
        <v>75000</v>
      </c>
      <c r="Z20" s="20">
        <v>225000</v>
      </c>
      <c r="AA20" s="20" t="str">
        <v>KSB</v>
      </c>
      <c r="AB20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1" ht="60" spans="1:28">
      <c r="A21" s="20" t="str">
        <v>立式端吸泵（KSB管道泵）</v>
      </c>
      <c r="B21" s="20" t="str">
        <v>ETL 032-032-160 </v>
      </c>
      <c r="C21" s="20">
        <v>25</v>
      </c>
      <c r="D21" s="20">
        <v>32</v>
      </c>
      <c r="E21" s="20">
        <v>2900</v>
      </c>
      <c r="F21" s="20">
        <v>4</v>
      </c>
      <c r="G21" s="20" t="str">
        <v>铸铁</v>
      </c>
      <c r="H21" s="20" t="str">
        <v>260号铸铁</v>
      </c>
      <c r="I21" s="20" t="str">
        <v>铸铁</v>
      </c>
      <c r="J21" s="20" t="str">
        <v>含12-13%铬的不锈钢</v>
      </c>
      <c r="K21" s="20" t="str">
        <v>碳化钨-巴氏合金及不锈钢弹簧</v>
      </c>
      <c r="L21" s="20" t="str">
        <v>不锈钢</v>
      </c>
      <c r="M21" s="20" t="str">
        <v>可替换式，未经硬化处理的含12-13%铬的316不锈钢</v>
      </c>
      <c r="N21" s="20" t="str">
        <v>无需</v>
      </c>
      <c r="O21" s="20" t="str">
        <v>铸钢</v>
      </c>
      <c r="P21" s="20" t="str">
        <v>乙丙橡胶</v>
      </c>
      <c r="Q21" s="20" t="str">
        <v>铸铁</v>
      </c>
      <c r="R21" s="20" t="str">
        <v>IP55</v>
      </c>
      <c r="S21" s="20" t="str">
        <v>二级</v>
      </c>
      <c r="T21" s="20" t="str">
        <v>NSK,NTN,SKF</v>
      </c>
      <c r="U21" s="20" t="str">
        <v>ABB IE4</v>
      </c>
      <c r="V21" s="20" t="str">
        <v>KSB</v>
      </c>
      <c r="W21" s="20">
        <v>3</v>
      </c>
      <c r="X21" s="20">
        <v>7964.60176991151</v>
      </c>
      <c r="Y21" s="20">
        <v>9000</v>
      </c>
      <c r="Z21" s="20">
        <v>27000</v>
      </c>
      <c r="AA21" s="20" t="str">
        <v>KSB</v>
      </c>
      <c r="AB21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2" ht="60" spans="1:28">
      <c r="A22" s="20" t="str">
        <v>立式端吸泵（KSB管道泵）</v>
      </c>
      <c r="B22" s="20" t="str">
        <v>ETL 065-065-160 </v>
      </c>
      <c r="C22" s="20">
        <v>60</v>
      </c>
      <c r="D22" s="20">
        <v>25</v>
      </c>
      <c r="E22" s="20">
        <v>2900</v>
      </c>
      <c r="F22" s="20">
        <v>7.5</v>
      </c>
      <c r="G22" s="20" t="str">
        <v>铸铁</v>
      </c>
      <c r="H22" s="20" t="str">
        <v>260号铸铁</v>
      </c>
      <c r="I22" s="20" t="str">
        <v>铸铁</v>
      </c>
      <c r="J22" s="20" t="str">
        <v>含12-13%铬的不锈钢</v>
      </c>
      <c r="K22" s="20" t="str">
        <v>碳化钨-巴氏合金及不锈钢弹簧</v>
      </c>
      <c r="L22" s="20" t="str">
        <v>不锈钢</v>
      </c>
      <c r="M22" s="20" t="str">
        <v>可替换式，未经硬化处理的含12-13%铬的316不锈钢</v>
      </c>
      <c r="N22" s="20" t="str">
        <v>无需</v>
      </c>
      <c r="O22" s="20" t="str">
        <v>铸钢</v>
      </c>
      <c r="P22" s="20" t="str">
        <v>乙丙橡胶</v>
      </c>
      <c r="Q22" s="20" t="str">
        <v>铸铁</v>
      </c>
      <c r="R22" s="20" t="str">
        <v>IP55</v>
      </c>
      <c r="S22" s="20" t="str">
        <v>二级</v>
      </c>
      <c r="T22" s="20" t="str">
        <v>NSK,NTN,SKF</v>
      </c>
      <c r="U22" s="20" t="str">
        <v>ABB IE4</v>
      </c>
      <c r="V22" s="20" t="str">
        <v>KSB</v>
      </c>
      <c r="W22" s="20">
        <v>3</v>
      </c>
      <c r="X22" s="20">
        <v>9734.51327433628</v>
      </c>
      <c r="Y22" s="20">
        <v>11000</v>
      </c>
      <c r="Z22" s="20">
        <v>33000</v>
      </c>
      <c r="AA22" s="20" t="str">
        <v>KSB</v>
      </c>
      <c r="AB22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3" ht="60" spans="1:28">
      <c r="A23" s="20" t="str">
        <v>立式端吸泵（KSB管道泵）</v>
      </c>
      <c r="B23" s="20" t="str">
        <v>ETL 050-050-160  </v>
      </c>
      <c r="C23" s="20">
        <v>25</v>
      </c>
      <c r="D23" s="20">
        <v>25</v>
      </c>
      <c r="E23" s="20">
        <v>2900</v>
      </c>
      <c r="F23" s="20">
        <v>4</v>
      </c>
      <c r="G23" s="20" t="str">
        <v>铸铁</v>
      </c>
      <c r="H23" s="20" t="str">
        <v>260号铸铁</v>
      </c>
      <c r="I23" s="20" t="str">
        <v>铸铁</v>
      </c>
      <c r="J23" s="20" t="str">
        <v>含12-13%铬的不锈钢</v>
      </c>
      <c r="K23" s="20" t="str">
        <v>碳化钨-巴氏合金及不锈钢弹簧</v>
      </c>
      <c r="L23" s="20" t="str">
        <v>不锈钢</v>
      </c>
      <c r="M23" s="20" t="str">
        <v>可替换式，未经硬化处理的含12-13%铬的316不锈钢</v>
      </c>
      <c r="N23" s="20" t="str">
        <v>无需</v>
      </c>
      <c r="O23" s="20" t="str">
        <v>铸钢</v>
      </c>
      <c r="P23" s="20" t="str">
        <v>乙丙橡胶</v>
      </c>
      <c r="Q23" s="20" t="str">
        <v>铸铁</v>
      </c>
      <c r="R23" s="20" t="str">
        <v>IP55</v>
      </c>
      <c r="S23" s="20" t="str">
        <v>二级</v>
      </c>
      <c r="T23" s="20" t="str">
        <v>NSK,NTN,SKF</v>
      </c>
      <c r="U23" s="20" t="str">
        <v>ABB IE4</v>
      </c>
      <c r="V23" s="20" t="str">
        <v>KSB</v>
      </c>
      <c r="W23" s="20">
        <v>3</v>
      </c>
      <c r="X23" s="20">
        <v>8407.0796460177</v>
      </c>
      <c r="Y23" s="20">
        <v>9500</v>
      </c>
      <c r="Z23" s="20">
        <v>28500</v>
      </c>
      <c r="AA23" s="20" t="str">
        <v>KSB</v>
      </c>
      <c r="AB23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4" ht="60" spans="1:28">
      <c r="A24" s="20" t="str">
        <v>卧式泵，放置雨水收集池内</v>
      </c>
      <c r="B24" s="20" t="str">
        <v>ETB 032-032-160  </v>
      </c>
      <c r="C24" s="20">
        <v>20</v>
      </c>
      <c r="D24" s="20">
        <v>15</v>
      </c>
      <c r="E24" s="20">
        <v>2900</v>
      </c>
      <c r="F24" s="20">
        <v>3</v>
      </c>
      <c r="G24" s="20" t="str">
        <v>铸铁</v>
      </c>
      <c r="H24" s="20" t="str">
        <v>260号铸铁</v>
      </c>
      <c r="I24" s="20" t="str">
        <v>铸铁</v>
      </c>
      <c r="J24" s="20" t="str">
        <v>含12-13%铬的不锈钢</v>
      </c>
      <c r="K24" s="20" t="str">
        <v>碳化钨-巴氏合金及不锈钢弹簧</v>
      </c>
      <c r="L24" s="20" t="str">
        <v>不锈钢</v>
      </c>
      <c r="M24" s="20" t="str">
        <v>可替换式，未经硬化处理的含12-13%铬的316不锈钢</v>
      </c>
      <c r="N24" s="20" t="str">
        <v>槽钢底座</v>
      </c>
      <c r="O24" s="20" t="str">
        <v>铸钢</v>
      </c>
      <c r="P24" s="20" t="str">
        <v>乙丙橡胶</v>
      </c>
      <c r="Q24" s="20" t="str">
        <v>铸铁</v>
      </c>
      <c r="R24" s="20" t="str">
        <v>IP55</v>
      </c>
      <c r="S24" s="20" t="str">
        <v>二级</v>
      </c>
      <c r="T24" s="20" t="str">
        <v>NSK,NTN,SKF</v>
      </c>
      <c r="U24" s="20" t="str">
        <v>KSB IE4</v>
      </c>
      <c r="V24" s="20" t="str">
        <v>KSB</v>
      </c>
      <c r="W24" s="20">
        <v>2</v>
      </c>
      <c r="X24" s="20">
        <v>5309.73451327434</v>
      </c>
      <c r="Y24" s="20">
        <v>6000</v>
      </c>
      <c r="Z24" s="20">
        <v>12000</v>
      </c>
      <c r="AA24" s="20" t="str">
        <v>KSB</v>
      </c>
      <c r="AB24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5" ht="60" spans="1:28">
      <c r="A25" s="20" t="str">
        <v>立式泵（KSB管道泵）</v>
      </c>
      <c r="B25" s="20" t="str">
        <v>ETL 032-032-160  </v>
      </c>
      <c r="C25" s="20">
        <v>20</v>
      </c>
      <c r="D25" s="20">
        <v>30</v>
      </c>
      <c r="E25" s="20">
        <v>2900</v>
      </c>
      <c r="F25" s="20">
        <v>4</v>
      </c>
      <c r="G25" s="20" t="str">
        <v>铸铁</v>
      </c>
      <c r="H25" s="20" t="str">
        <v>260号铸铁</v>
      </c>
      <c r="I25" s="20" t="str">
        <v>铸铁</v>
      </c>
      <c r="J25" s="20" t="str">
        <v>含12-13%铬的不锈钢</v>
      </c>
      <c r="K25" s="20" t="str">
        <v>碳化钨-巴氏合金及不锈钢弹簧</v>
      </c>
      <c r="L25" s="20" t="str">
        <v>不锈钢</v>
      </c>
      <c r="M25" s="20" t="str">
        <v>可替换式，未经硬化处理的含12-13%铬的316不锈钢</v>
      </c>
      <c r="N25" s="20" t="str">
        <v>无需</v>
      </c>
      <c r="O25" s="20" t="str">
        <v>铸钢</v>
      </c>
      <c r="P25" s="20" t="str">
        <v>乙丙橡胶</v>
      </c>
      <c r="Q25" s="20" t="str">
        <v>铸铁</v>
      </c>
      <c r="R25" s="20" t="str">
        <v>IP55</v>
      </c>
      <c r="S25" s="20" t="str">
        <v>二级</v>
      </c>
      <c r="T25" s="20" t="str">
        <v>NSK,NTN,SKF</v>
      </c>
      <c r="U25" s="20" t="str">
        <v>KSB IE4</v>
      </c>
      <c r="V25" s="20" t="str">
        <v>KSB</v>
      </c>
      <c r="W25" s="20">
        <v>2</v>
      </c>
      <c r="X25" s="20">
        <v>6637.16814159292</v>
      </c>
      <c r="Y25" s="20">
        <v>7500</v>
      </c>
      <c r="Z25" s="20">
        <v>15000</v>
      </c>
      <c r="AA25" s="20" t="str">
        <v>KSB</v>
      </c>
      <c r="AB25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6" ht="60" spans="1:28">
      <c r="A26" s="20" t="str">
        <v>立式泵</v>
      </c>
      <c r="B26" s="20" t="str">
        <v>MovitecVCF015/03</v>
      </c>
      <c r="C26" s="20">
        <v>15</v>
      </c>
      <c r="D26" s="20">
        <v>30</v>
      </c>
      <c r="E26" s="20">
        <v>2900</v>
      </c>
      <c r="F26" s="20">
        <v>3</v>
      </c>
      <c r="G26" s="20" t="str">
        <v>不锈钢</v>
      </c>
      <c r="H26" s="20" t="str">
        <v>260号铸铁</v>
      </c>
      <c r="I26" s="20" t="str">
        <v>不锈钢</v>
      </c>
      <c r="J26" s="20" t="str">
        <v>含12-13%铬的不锈钢</v>
      </c>
      <c r="K26" s="20" t="str">
        <v>碳化钨-巴氏合金及不锈钢弹簧</v>
      </c>
      <c r="L26" s="20" t="str">
        <v>不锈钢</v>
      </c>
      <c r="M26" s="20" t="str">
        <v>可替换式，未经硬化处理的含12-13%铬的316不锈钢</v>
      </c>
      <c r="N26" s="20" t="str">
        <v>无需</v>
      </c>
      <c r="O26" s="20" t="str">
        <v>铸钢</v>
      </c>
      <c r="P26" s="20" t="str">
        <v>乙丙橡胶</v>
      </c>
      <c r="Q26" s="20" t="str">
        <v>铸铁</v>
      </c>
      <c r="R26" s="20" t="str">
        <v>IP55</v>
      </c>
      <c r="S26" s="20" t="str">
        <v>二级</v>
      </c>
      <c r="T26" s="20" t="str">
        <v>NSK,NTN,SKF</v>
      </c>
      <c r="U26" s="20" t="str">
        <v>KSB IE4</v>
      </c>
      <c r="V26" s="20" t="str">
        <v>KSB</v>
      </c>
      <c r="W26" s="20">
        <v>2</v>
      </c>
      <c r="X26" s="20">
        <v>12831.8584070796</v>
      </c>
      <c r="Y26" s="20">
        <v>14500</v>
      </c>
      <c r="Z26" s="20">
        <v>29000</v>
      </c>
      <c r="AA26" s="20" t="str">
        <v>KSB</v>
      </c>
      <c r="AB26" s="27" t="str">
        <v>2025.12.24，货到现场一个月内付至货款的95%（其中50%：一建6个月商票；50%：现金电汇）。全部货物送至现场后，供方开具到货总金额5%的两年期银行质量保函，买方支付至结算金额的100%。</v>
      </c>
    </row>
    <row r="27" ht="45" spans="1:28">
      <c r="A27" s="20" t="str">
        <v>卧式单级双吸离心泵</v>
      </c>
      <c r="B27" s="20" t="str">
        <v>SCH200/320-55/4</v>
      </c>
      <c r="C27" s="20">
        <v>509</v>
      </c>
      <c r="D27" s="20">
        <v>29</v>
      </c>
      <c r="E27" s="20">
        <v>1450</v>
      </c>
      <c r="F27" s="20">
        <v>55</v>
      </c>
      <c r="G27" s="20" t="str">
        <v>铸铁</v>
      </c>
      <c r="H27" s="20" t="str">
        <v>铸铁</v>
      </c>
      <c r="I27" s="20" t="str">
        <v>SS304</v>
      </c>
      <c r="J27" s="20" t="str">
        <v>不锈钢</v>
      </c>
      <c r="K27" s="20" t="str">
        <v>碳化硅-石墨</v>
      </c>
      <c r="L27" s="20" t="str">
        <v>不锈钢</v>
      </c>
      <c r="M27" s="20" t="str">
        <v>无</v>
      </c>
      <c r="N27" s="20" t="str">
        <v>碳钢</v>
      </c>
      <c r="O27" s="20" t="str">
        <v>碳钢</v>
      </c>
      <c r="P27" s="20" t="str">
        <v>青铜</v>
      </c>
      <c r="Q27" s="20" t="str">
        <v>不锈钢</v>
      </c>
      <c r="R27" s="20" t="str">
        <v>IP55/F</v>
      </c>
      <c r="S27" s="20" t="str">
        <v>GB2</v>
      </c>
      <c r="T27" s="20" t="str">
        <v>NSK</v>
      </c>
      <c r="U27" s="20" t="str">
        <v>WILO</v>
      </c>
      <c r="V27" s="20" t="str">
        <v>WILO</v>
      </c>
      <c r="W27" s="20">
        <v>5</v>
      </c>
      <c r="X27" s="20">
        <v>0.13</v>
      </c>
      <c r="Y27" s="20">
        <v>43461</v>
      </c>
      <c r="Z27" s="20">
        <v>217305</v>
      </c>
      <c r="AA27" s="20" t="str">
        <v>威乐</v>
      </c>
      <c r="AB27" s="27" t="str">
        <v>无预付款，货到现场验收合格2月后付至送货金额80%，竣工验收后付至90%，结算移交档案后付至95%，5%质保2年，供方接受以商票形式支付货款</v>
      </c>
    </row>
    <row r="28" ht="45" spans="1:28">
      <c r="A28" s="20" t="str">
        <v>卧式单级双吸离心泵</v>
      </c>
      <c r="B28" s="20" t="str">
        <v>SCH200/320-55/4</v>
      </c>
      <c r="C28" s="20">
        <v>590</v>
      </c>
      <c r="D28" s="20">
        <v>23</v>
      </c>
      <c r="E28" s="20">
        <v>1450</v>
      </c>
      <c r="F28" s="20">
        <v>55</v>
      </c>
      <c r="G28" s="20" t="str">
        <v>铸铁</v>
      </c>
      <c r="H28" s="20" t="str">
        <v>铸铁</v>
      </c>
      <c r="I28" s="20" t="str">
        <v>SS304</v>
      </c>
      <c r="J28" s="20" t="str">
        <v>不锈钢</v>
      </c>
      <c r="K28" s="20" t="str">
        <v>碳化硅-石墨</v>
      </c>
      <c r="L28" s="20" t="str">
        <v>不锈钢</v>
      </c>
      <c r="M28" s="20" t="str">
        <v>无</v>
      </c>
      <c r="N28" s="20" t="str">
        <v>碳钢</v>
      </c>
      <c r="O28" s="20" t="str">
        <v>碳钢</v>
      </c>
      <c r="P28" s="20" t="str">
        <v>青铜</v>
      </c>
      <c r="Q28" s="20" t="str">
        <v>不锈钢</v>
      </c>
      <c r="R28" s="20" t="str">
        <v>IP55/F</v>
      </c>
      <c r="S28" s="20" t="str">
        <v>GB2</v>
      </c>
      <c r="T28" s="20" t="str">
        <v>NSK</v>
      </c>
      <c r="U28" s="20" t="str">
        <v>WILO</v>
      </c>
      <c r="V28" s="20" t="str">
        <v>WILO</v>
      </c>
      <c r="W28" s="20">
        <v>5</v>
      </c>
      <c r="X28" s="20">
        <v>0.13</v>
      </c>
      <c r="Y28" s="20">
        <v>43461</v>
      </c>
      <c r="Z28" s="20">
        <v>217305</v>
      </c>
      <c r="AA28" s="20" t="str">
        <v>威乐</v>
      </c>
      <c r="AB28" s="27" t="str">
        <v>无预付款，货到现场验收合格2月后付至送货金额80%，竣工验收后付至90%，结算移交档案后付至95%，5%质保2年，供方接受以商票形式支付货款</v>
      </c>
    </row>
    <row r="29" ht="45" spans="1:28">
      <c r="A29" s="20" t="str">
        <v>卧式单级离心泵</v>
      </c>
      <c r="B29" s="20" t="str">
        <v>N 125/250-18.5/4</v>
      </c>
      <c r="C29" s="20">
        <v>253</v>
      </c>
      <c r="D29" s="20">
        <v>20</v>
      </c>
      <c r="E29" s="20">
        <v>1450</v>
      </c>
      <c r="F29" s="20">
        <v>18.5</v>
      </c>
      <c r="G29" s="20" t="str">
        <v>铸铁</v>
      </c>
      <c r="H29" s="20" t="str">
        <v>铸铁</v>
      </c>
      <c r="I29" s="20" t="str">
        <v>铸铁</v>
      </c>
      <c r="J29" s="20" t="str">
        <v>不锈钢</v>
      </c>
      <c r="K29" s="20" t="str">
        <v>碳化硅-石墨</v>
      </c>
      <c r="L29" s="20" t="str">
        <v>不锈钢</v>
      </c>
      <c r="M29" s="20" t="str">
        <v>无</v>
      </c>
      <c r="N29" s="20" t="str">
        <v>碳钢</v>
      </c>
      <c r="O29" s="20" t="str">
        <v>碳钢</v>
      </c>
      <c r="P29" s="20" t="str">
        <v>无</v>
      </c>
      <c r="Q29" s="20" t="str">
        <v>不锈钢</v>
      </c>
      <c r="R29" s="20" t="str">
        <v>IP55/F</v>
      </c>
      <c r="S29" s="20" t="str">
        <v>GB2</v>
      </c>
      <c r="T29" s="20" t="str">
        <v>NSK</v>
      </c>
      <c r="U29" s="20" t="str">
        <v>WILO</v>
      </c>
      <c r="V29" s="20" t="str">
        <v>WILO</v>
      </c>
      <c r="W29" s="20">
        <v>4</v>
      </c>
      <c r="X29" s="20">
        <v>0.13</v>
      </c>
      <c r="Y29" s="20">
        <v>17674</v>
      </c>
      <c r="Z29" s="20">
        <v>70696</v>
      </c>
      <c r="AA29" s="20" t="str">
        <v>威乐</v>
      </c>
      <c r="AB29" s="27" t="str">
        <v>无预付款，货到现场验收合格2月后付至送货金额80%，竣工验收后付至90%，结算移交档案后付至95%，5%质保2年，供方接受以商票形式支付货款</v>
      </c>
    </row>
    <row r="30" ht="45" spans="1:28">
      <c r="A30" s="20" t="str">
        <v>卧式单级离心泵</v>
      </c>
      <c r="B30" s="20" t="str">
        <v>N 80/200-5.5/4</v>
      </c>
      <c r="C30" s="20">
        <v>90</v>
      </c>
      <c r="D30" s="20">
        <v>15</v>
      </c>
      <c r="E30" s="20">
        <v>1450</v>
      </c>
      <c r="F30" s="20">
        <v>5.5</v>
      </c>
      <c r="G30" s="20" t="str">
        <v>铸铁</v>
      </c>
      <c r="H30" s="20" t="str">
        <v>铸铁</v>
      </c>
      <c r="I30" s="20" t="str">
        <v>铸铁</v>
      </c>
      <c r="J30" s="20" t="str">
        <v>不锈钢</v>
      </c>
      <c r="K30" s="20" t="str">
        <v>碳化硅-石墨</v>
      </c>
      <c r="L30" s="20" t="str">
        <v>不锈钢</v>
      </c>
      <c r="M30" s="20" t="str">
        <v>无</v>
      </c>
      <c r="N30" s="20" t="str">
        <v>碳钢</v>
      </c>
      <c r="O30" s="20" t="str">
        <v>碳钢</v>
      </c>
      <c r="P30" s="20" t="str">
        <v>无</v>
      </c>
      <c r="Q30" s="20" t="str">
        <v>不锈钢</v>
      </c>
      <c r="R30" s="20" t="str">
        <v>IP55/F</v>
      </c>
      <c r="S30" s="20" t="str">
        <v>GB2</v>
      </c>
      <c r="T30" s="20" t="str">
        <v>NSK</v>
      </c>
      <c r="U30" s="20" t="str">
        <v>WILO</v>
      </c>
      <c r="V30" s="20" t="str">
        <v>WILO</v>
      </c>
      <c r="W30" s="20">
        <v>3</v>
      </c>
      <c r="X30" s="20">
        <v>0.13</v>
      </c>
      <c r="Y30" s="20">
        <v>12119</v>
      </c>
      <c r="Z30" s="20">
        <v>36357</v>
      </c>
      <c r="AA30" s="20" t="str">
        <v>威乐</v>
      </c>
      <c r="AB30" s="27" t="str">
        <v>无预付款，货到现场验收合格2月后付至送货金额80%，竣工验收后付至90%，结算移交档案后付至95%，5%质保2年，供方接受以商票形式支付货款</v>
      </c>
    </row>
    <row r="31" ht="45" spans="1:28">
      <c r="A31" s="20" t="str">
        <v>空调供暖循环水泵</v>
      </c>
      <c r="B31" s="20" t="str">
        <v>I 125/315-30/4</v>
      </c>
      <c r="C31" s="20">
        <v>220</v>
      </c>
      <c r="D31" s="20">
        <v>30</v>
      </c>
      <c r="E31" s="20">
        <v>1450</v>
      </c>
      <c r="F31" s="20">
        <v>30</v>
      </c>
      <c r="G31" s="20" t="str">
        <v>铸铁</v>
      </c>
      <c r="H31" s="20" t="str">
        <v>铸铁</v>
      </c>
      <c r="I31" s="20" t="str">
        <v>铸铁</v>
      </c>
      <c r="J31" s="20" t="str">
        <v>不锈钢</v>
      </c>
      <c r="K31" s="20" t="str">
        <v>碳化硅-石墨</v>
      </c>
      <c r="L31" s="20" t="str">
        <v>不锈钢</v>
      </c>
      <c r="M31" s="20" t="str">
        <v>无</v>
      </c>
      <c r="N31" s="20" t="str">
        <v>无</v>
      </c>
      <c r="O31" s="20" t="str">
        <v>碳钢</v>
      </c>
      <c r="P31" s="20" t="str">
        <v>无</v>
      </c>
      <c r="Q31" s="20" t="str">
        <v>不锈钢</v>
      </c>
      <c r="R31" s="20" t="str">
        <v>IP55/F</v>
      </c>
      <c r="S31" s="20" t="str">
        <v>GB2</v>
      </c>
      <c r="T31" s="20" t="str">
        <v>无</v>
      </c>
      <c r="U31" s="20" t="str">
        <v>WILO</v>
      </c>
      <c r="V31" s="20" t="str">
        <v>WILO</v>
      </c>
      <c r="W31" s="20">
        <v>2</v>
      </c>
      <c r="X31" s="20">
        <v>0.13</v>
      </c>
      <c r="Y31" s="20">
        <v>30731</v>
      </c>
      <c r="Z31" s="20">
        <v>61462</v>
      </c>
      <c r="AA31" s="20" t="str">
        <v>威乐</v>
      </c>
      <c r="AB31" s="27" t="str">
        <v>无预付款，货到现场验收合格2月后付至送货金额80%，竣工验收后付至90%，结算移交档案后付至95%，5%质保2年，供方接受以商票形式支付货款</v>
      </c>
    </row>
    <row r="32" ht="45" spans="1:28">
      <c r="A32" s="20" t="str">
        <v>空调供暖循环水泵</v>
      </c>
      <c r="B32" s="20" t="str">
        <v>I 125/315-30/4</v>
      </c>
      <c r="C32" s="20">
        <v>220</v>
      </c>
      <c r="D32" s="20">
        <v>30</v>
      </c>
      <c r="E32" s="20">
        <v>1450</v>
      </c>
      <c r="F32" s="20">
        <v>30</v>
      </c>
      <c r="G32" s="20" t="str">
        <v>铸铁</v>
      </c>
      <c r="H32" s="20" t="str">
        <v>铸铁</v>
      </c>
      <c r="I32" s="20" t="str">
        <v>铸铁</v>
      </c>
      <c r="J32" s="20" t="str">
        <v>不锈钢</v>
      </c>
      <c r="K32" s="20" t="str">
        <v>碳化硅-石墨</v>
      </c>
      <c r="L32" s="20" t="str">
        <v>不锈钢</v>
      </c>
      <c r="M32" s="20" t="str">
        <v>无</v>
      </c>
      <c r="N32" s="20" t="str">
        <v>无</v>
      </c>
      <c r="O32" s="20" t="str">
        <v>碳钢</v>
      </c>
      <c r="P32" s="20" t="str">
        <v>无</v>
      </c>
      <c r="Q32" s="20" t="str">
        <v>不锈钢</v>
      </c>
      <c r="R32" s="20" t="str">
        <v>IP55/F</v>
      </c>
      <c r="S32" s="20" t="str">
        <v>GB2</v>
      </c>
      <c r="T32" s="20" t="str">
        <v>无</v>
      </c>
      <c r="U32" s="20" t="str">
        <v>WILO</v>
      </c>
      <c r="V32" s="20" t="str">
        <v>WILO</v>
      </c>
      <c r="W32" s="20">
        <v>2</v>
      </c>
      <c r="X32" s="20">
        <v>0.13</v>
      </c>
      <c r="Y32" s="20">
        <v>30731</v>
      </c>
      <c r="Z32" s="20">
        <v>61462</v>
      </c>
      <c r="AA32" s="20" t="str">
        <v>威乐</v>
      </c>
      <c r="AB32" s="27" t="str">
        <v>无预付款，货到现场验收合格2月后付至送货金额80%，竣工验收后付至90%，结算移交档案后付至95%，5%质保2年，供方接受以商票形式支付货款</v>
      </c>
    </row>
    <row r="33" ht="45" spans="1:28">
      <c r="A33" s="20" t="str">
        <v>空调供暖循环水泵</v>
      </c>
      <c r="B33" s="20" t="str">
        <v>I 100/295-15/4</v>
      </c>
      <c r="C33" s="20">
        <v>100</v>
      </c>
      <c r="D33" s="20">
        <v>30</v>
      </c>
      <c r="E33" s="20">
        <v>1450</v>
      </c>
      <c r="F33" s="20">
        <v>15</v>
      </c>
      <c r="G33" s="20" t="str">
        <v>铸铁</v>
      </c>
      <c r="H33" s="20" t="str">
        <v>铸铁</v>
      </c>
      <c r="I33" s="20" t="str">
        <v>铸铁</v>
      </c>
      <c r="J33" s="20" t="str">
        <v>不锈钢</v>
      </c>
      <c r="K33" s="20" t="str">
        <v>碳化硅-石墨</v>
      </c>
      <c r="L33" s="20" t="str">
        <v>不锈钢</v>
      </c>
      <c r="M33" s="20" t="str">
        <v>无</v>
      </c>
      <c r="N33" s="20" t="str">
        <v>无</v>
      </c>
      <c r="O33" s="20" t="str">
        <v>碳钢</v>
      </c>
      <c r="P33" s="20" t="str">
        <v>无</v>
      </c>
      <c r="Q33" s="20" t="str">
        <v>不锈钢</v>
      </c>
      <c r="R33" s="20" t="str">
        <v>IP55/F</v>
      </c>
      <c r="S33" s="20" t="str">
        <v>GB2</v>
      </c>
      <c r="T33" s="20" t="str">
        <v>无</v>
      </c>
      <c r="U33" s="20" t="str">
        <v>WILO</v>
      </c>
      <c r="V33" s="20" t="str">
        <v>WILO</v>
      </c>
      <c r="W33" s="20">
        <v>2</v>
      </c>
      <c r="X33" s="20">
        <v>0.13</v>
      </c>
      <c r="Y33" s="20">
        <v>20094</v>
      </c>
      <c r="Z33" s="20">
        <v>40188</v>
      </c>
      <c r="AA33" s="20" t="str">
        <v>威乐</v>
      </c>
      <c r="AB33" s="27" t="str">
        <v>无预付款，货到现场验收合格2月后付至送货金额80%，竣工验收后付至90%，结算移交档案后付至95%，5%质保2年，供方接受以商票形式支付货款</v>
      </c>
    </row>
    <row r="34" ht="45" spans="1:28">
      <c r="A34" s="20" t="str">
        <v>空调供暖循环水泵</v>
      </c>
      <c r="B34" s="20" t="str">
        <v>I 100/295-15/4</v>
      </c>
      <c r="C34" s="20">
        <v>100</v>
      </c>
      <c r="D34" s="20">
        <v>30</v>
      </c>
      <c r="E34" s="20">
        <v>1450</v>
      </c>
      <c r="F34" s="20">
        <v>15</v>
      </c>
      <c r="G34" s="20" t="str">
        <v>铸铁</v>
      </c>
      <c r="H34" s="20" t="str">
        <v>铸铁</v>
      </c>
      <c r="I34" s="20" t="str">
        <v>铸铁</v>
      </c>
      <c r="J34" s="20" t="str">
        <v>不锈钢</v>
      </c>
      <c r="K34" s="20" t="str">
        <v>碳化硅-石墨</v>
      </c>
      <c r="L34" s="20" t="str">
        <v>不锈钢</v>
      </c>
      <c r="M34" s="20" t="str">
        <v>无</v>
      </c>
      <c r="N34" s="20" t="str">
        <v>无</v>
      </c>
      <c r="O34" s="20" t="str">
        <v>碳钢</v>
      </c>
      <c r="P34" s="20" t="str">
        <v>无</v>
      </c>
      <c r="Q34" s="20" t="str">
        <v>不锈钢</v>
      </c>
      <c r="R34" s="20" t="str">
        <v>IP55/F</v>
      </c>
      <c r="S34" s="20" t="str">
        <v>GB2</v>
      </c>
      <c r="T34" s="20" t="str">
        <v>无</v>
      </c>
      <c r="U34" s="20" t="str">
        <v>WILO</v>
      </c>
      <c r="V34" s="20" t="str">
        <v>WILO</v>
      </c>
      <c r="W34" s="20">
        <v>2</v>
      </c>
      <c r="X34" s="20">
        <v>0.13</v>
      </c>
      <c r="Y34" s="20">
        <v>20094</v>
      </c>
      <c r="Z34" s="20">
        <v>40188</v>
      </c>
      <c r="AA34" s="20" t="str">
        <v>威乐</v>
      </c>
      <c r="AB34" s="27" t="str">
        <v>无预付款，货到现场验收合格2月后付至送货金额80%，竣工验收后付至90%，结算移交档案后付至95%，5%质保2年，供方接受以商票形式支付货款</v>
      </c>
    </row>
    <row r="35" ht="45" spans="1:28">
      <c r="A35" s="20" t="str">
        <v>空调供暖循环水泵</v>
      </c>
      <c r="B35" s="20" t="str">
        <v>I 125/295-18.5/4</v>
      </c>
      <c r="C35" s="20">
        <v>200</v>
      </c>
      <c r="D35" s="20">
        <v>25</v>
      </c>
      <c r="E35" s="20">
        <v>1450</v>
      </c>
      <c r="F35" s="20">
        <v>18.5</v>
      </c>
      <c r="G35" s="20" t="str">
        <v>铸铁</v>
      </c>
      <c r="H35" s="20" t="str">
        <v>铸铁</v>
      </c>
      <c r="I35" s="20" t="str">
        <v>铸铁</v>
      </c>
      <c r="J35" s="20" t="str">
        <v>不锈钢</v>
      </c>
      <c r="K35" s="20" t="str">
        <v>碳化硅-石墨</v>
      </c>
      <c r="L35" s="20" t="str">
        <v>不锈钢</v>
      </c>
      <c r="M35" s="20" t="str">
        <v>无</v>
      </c>
      <c r="N35" s="20" t="str">
        <v>无</v>
      </c>
      <c r="O35" s="20" t="str">
        <v>碳钢</v>
      </c>
      <c r="P35" s="20" t="str">
        <v>无</v>
      </c>
      <c r="Q35" s="20" t="str">
        <v>不锈钢</v>
      </c>
      <c r="R35" s="20" t="str">
        <v>IP55/F</v>
      </c>
      <c r="S35" s="20" t="str">
        <v>GB2</v>
      </c>
      <c r="T35" s="20" t="str">
        <v>无</v>
      </c>
      <c r="U35" s="20" t="str">
        <v>WILO</v>
      </c>
      <c r="V35" s="20" t="str">
        <v>WILO</v>
      </c>
      <c r="W35" s="20">
        <v>2</v>
      </c>
      <c r="X35" s="20">
        <v>0.13</v>
      </c>
      <c r="Y35" s="20">
        <v>24502</v>
      </c>
      <c r="Z35" s="20">
        <v>49004</v>
      </c>
      <c r="AA35" s="20" t="str">
        <v>威乐</v>
      </c>
      <c r="AB35" s="27" t="str">
        <v>无预付款，货到现场验收合格2月后付至送货金额80%，竣工验收后付至90%，结算移交档案后付至95%，5%质保2年，供方接受以商票形式支付货款</v>
      </c>
    </row>
    <row r="36" ht="45" spans="1:28">
      <c r="A36" s="20" t="str">
        <v>商业mall生活给水（主泵）</v>
      </c>
      <c r="B36" s="20" t="str">
        <v>MVI7004/2</v>
      </c>
      <c r="C36" s="20">
        <v>75</v>
      </c>
      <c r="D36" s="20">
        <v>65</v>
      </c>
      <c r="E36" s="20">
        <v>2900</v>
      </c>
      <c r="F36" s="20">
        <v>18.5</v>
      </c>
      <c r="G36" s="20" t="str">
        <v>不锈钢</v>
      </c>
      <c r="H36" s="20" t="str">
        <v>不锈钢</v>
      </c>
      <c r="I36" s="20" t="str">
        <v>不锈钢</v>
      </c>
      <c r="J36" s="20" t="str">
        <v>不锈钢</v>
      </c>
      <c r="K36" s="20" t="str">
        <v>碳化硅-石墨</v>
      </c>
      <c r="L36" s="20" t="str">
        <v>不锈钢</v>
      </c>
      <c r="M36" s="20" t="str">
        <v>无</v>
      </c>
      <c r="N36" s="20" t="str">
        <v>铸铁</v>
      </c>
      <c r="O36" s="20" t="str">
        <v>碳钢</v>
      </c>
      <c r="P36" s="20" t="str">
        <v>无</v>
      </c>
      <c r="Q36" s="20" t="str">
        <v>不锈钢</v>
      </c>
      <c r="R36" s="20" t="str">
        <v>IP55/F</v>
      </c>
      <c r="S36" s="20" t="str">
        <v>GB2</v>
      </c>
      <c r="T36" s="20" t="str">
        <v>无</v>
      </c>
      <c r="U36" s="20" t="str">
        <v>WILO</v>
      </c>
      <c r="V36" s="20" t="str">
        <v>WILO</v>
      </c>
      <c r="W36" s="20">
        <v>4</v>
      </c>
      <c r="X36" s="20">
        <v>0.13</v>
      </c>
      <c r="Y36" s="20">
        <v>32000</v>
      </c>
      <c r="Z36" s="20">
        <v>128000</v>
      </c>
      <c r="AA36" s="20" t="str">
        <v>威乐</v>
      </c>
      <c r="AB36" s="27" t="str">
        <v>无预付款，货到现场验收合格2月后付至送货金额80%，竣工验收后付至90%，结算移交档案后付至95%，5%质保2年，供方接受以商票形式支付货款</v>
      </c>
    </row>
    <row r="37" ht="45" spans="1:28">
      <c r="A37" s="20" t="str">
        <v>商业mall生活给水（辅泵）</v>
      </c>
      <c r="B37" s="20" t="str">
        <v>Helix FIRST V 2206</v>
      </c>
      <c r="C37" s="20">
        <v>25</v>
      </c>
      <c r="D37" s="20">
        <v>67</v>
      </c>
      <c r="E37" s="20">
        <v>2900</v>
      </c>
      <c r="F37" s="20">
        <v>7.5</v>
      </c>
      <c r="G37" s="20" t="str">
        <v>不锈钢</v>
      </c>
      <c r="H37" s="20" t="str">
        <v>不锈钢</v>
      </c>
      <c r="I37" s="20" t="str">
        <v>不锈钢</v>
      </c>
      <c r="J37" s="20" t="str">
        <v>不锈钢</v>
      </c>
      <c r="K37" s="20" t="str">
        <v>碳化硅-石墨</v>
      </c>
      <c r="L37" s="20" t="str">
        <v>不锈钢</v>
      </c>
      <c r="M37" s="20" t="str">
        <v>无</v>
      </c>
      <c r="N37" s="20" t="str">
        <v>铸铁</v>
      </c>
      <c r="O37" s="20" t="str">
        <v>碳钢</v>
      </c>
      <c r="P37" s="20" t="str">
        <v>无</v>
      </c>
      <c r="Q37" s="20" t="str">
        <v>不锈钢</v>
      </c>
      <c r="R37" s="20" t="str">
        <v>IP55/F</v>
      </c>
      <c r="S37" s="20" t="str">
        <v>GB2</v>
      </c>
      <c r="T37" s="20" t="str">
        <v>无</v>
      </c>
      <c r="U37" s="20" t="str">
        <v>WILO</v>
      </c>
      <c r="V37" s="20" t="str">
        <v>WILO</v>
      </c>
      <c r="W37" s="20">
        <v>1</v>
      </c>
      <c r="X37" s="20">
        <v>0.13</v>
      </c>
      <c r="Y37" s="20">
        <v>12000</v>
      </c>
      <c r="Z37" s="20">
        <v>12000</v>
      </c>
      <c r="AA37" s="20" t="str">
        <v>威乐</v>
      </c>
      <c r="AB37" s="27" t="str">
        <v>无预付款，货到现场验收合格2月后付至送货金额80%，竣工验收后付至90%，结算移交档案后付至95%，5%质保2年，供方接受以商票形式支付货款</v>
      </c>
    </row>
    <row r="38" ht="45" spans="1:28">
      <c r="A38" s="20" t="str">
        <v>街商生活给水（主泵）</v>
      </c>
      <c r="B38" s="20" t="str">
        <v>MVI7004/2</v>
      </c>
      <c r="C38" s="20">
        <v>75</v>
      </c>
      <c r="D38" s="20">
        <v>65</v>
      </c>
      <c r="E38" s="20">
        <v>2900</v>
      </c>
      <c r="F38" s="20">
        <v>18.5</v>
      </c>
      <c r="G38" s="20" t="str">
        <v>不锈钢</v>
      </c>
      <c r="H38" s="20" t="str">
        <v>不锈钢</v>
      </c>
      <c r="I38" s="20" t="str">
        <v>不锈钢</v>
      </c>
      <c r="J38" s="20" t="str">
        <v>不锈钢</v>
      </c>
      <c r="K38" s="20" t="str">
        <v>碳化硅-石墨</v>
      </c>
      <c r="L38" s="20" t="str">
        <v>不锈钢</v>
      </c>
      <c r="M38" s="20" t="str">
        <v>无</v>
      </c>
      <c r="N38" s="20" t="str">
        <v>铸铁</v>
      </c>
      <c r="O38" s="20" t="str">
        <v>碳钢</v>
      </c>
      <c r="P38" s="20" t="str">
        <v>无</v>
      </c>
      <c r="Q38" s="20" t="str">
        <v>不锈钢</v>
      </c>
      <c r="R38" s="20" t="str">
        <v>IP55/F</v>
      </c>
      <c r="S38" s="20" t="str">
        <v>GB2</v>
      </c>
      <c r="T38" s="20" t="str">
        <v>无</v>
      </c>
      <c r="U38" s="20" t="str">
        <v>WILO</v>
      </c>
      <c r="V38" s="20" t="str">
        <v>WILO</v>
      </c>
      <c r="W38" s="20">
        <v>4</v>
      </c>
      <c r="X38" s="20">
        <v>0.13</v>
      </c>
      <c r="Y38" s="20">
        <v>32000</v>
      </c>
      <c r="Z38" s="20">
        <v>128000</v>
      </c>
      <c r="AA38" s="20" t="str">
        <v>威乐</v>
      </c>
      <c r="AB38" s="27" t="str">
        <v>无预付款，货到现场验收合格2月后付至送货金额80%，竣工验收后付至90%，结算移交档案后付至95%，5%质保2年，供方接受以商票形式支付货款</v>
      </c>
    </row>
    <row r="39" ht="45" spans="1:28">
      <c r="A39" s="20" t="str">
        <v>街商生活给水（辅泵）</v>
      </c>
      <c r="B39" s="20" t="str">
        <v>Helix FIRST V 2206</v>
      </c>
      <c r="C39" s="20">
        <v>25</v>
      </c>
      <c r="D39" s="20">
        <v>67</v>
      </c>
      <c r="E39" s="20">
        <v>2900</v>
      </c>
      <c r="F39" s="20">
        <v>7.5</v>
      </c>
      <c r="G39" s="20" t="str">
        <v>不锈钢</v>
      </c>
      <c r="H39" s="20" t="str">
        <v>不锈钢</v>
      </c>
      <c r="I39" s="20" t="str">
        <v>不锈钢</v>
      </c>
      <c r="J39" s="20" t="str">
        <v>不锈钢</v>
      </c>
      <c r="K39" s="20" t="str">
        <v>碳化硅/石墨</v>
      </c>
      <c r="L39" s="20" t="str">
        <v>不锈钢</v>
      </c>
      <c r="M39" s="20" t="str">
        <v>无</v>
      </c>
      <c r="N39" s="20" t="str">
        <v>铸铁</v>
      </c>
      <c r="O39" s="20" t="str">
        <v>碳钢</v>
      </c>
      <c r="P39" s="20" t="str">
        <v>无</v>
      </c>
      <c r="Q39" s="20" t="str">
        <v>不锈钢</v>
      </c>
      <c r="R39" s="20" t="str">
        <v>IP55/F</v>
      </c>
      <c r="S39" s="20" t="str">
        <v>GB2</v>
      </c>
      <c r="T39" s="20" t="str">
        <v>无</v>
      </c>
      <c r="U39" s="20" t="str">
        <v>WILO</v>
      </c>
      <c r="V39" s="20" t="str">
        <v>WILO</v>
      </c>
      <c r="W39" s="20">
        <v>1</v>
      </c>
      <c r="X39" s="20">
        <v>0.13</v>
      </c>
      <c r="Y39" s="20">
        <v>12000</v>
      </c>
      <c r="Z39" s="20">
        <v>12000</v>
      </c>
      <c r="AA39" s="20" t="str">
        <v>威乐</v>
      </c>
      <c r="AB39" s="27" t="str">
        <v>无预付款，货到现场验收合格2月后付至送货金额80%，竣工验收后付至90%，结算移交档案后付至95%，5%质保2年，供方接受以商票形式支付货款</v>
      </c>
    </row>
    <row r="40" ht="45" spans="1:28">
      <c r="A40" s="20" t="str">
        <v>办公区域生活泵房（主泵）</v>
      </c>
      <c r="B40" s="20" t="str">
        <v>Helix FIRST V 2206</v>
      </c>
      <c r="C40" s="20">
        <v>25</v>
      </c>
      <c r="D40" s="20">
        <v>70</v>
      </c>
      <c r="E40" s="20">
        <v>2900</v>
      </c>
      <c r="F40" s="20">
        <v>7.5</v>
      </c>
      <c r="G40" s="20" t="str">
        <v>不锈钢</v>
      </c>
      <c r="H40" s="20" t="str">
        <v>不锈钢</v>
      </c>
      <c r="I40" s="20" t="str">
        <v>不锈钢</v>
      </c>
      <c r="J40" s="20" t="str">
        <v>不锈钢</v>
      </c>
      <c r="K40" s="20" t="str">
        <v>碳化硅/石墨</v>
      </c>
      <c r="L40" s="20" t="str">
        <v>不锈钢</v>
      </c>
      <c r="M40" s="20" t="str">
        <v>无</v>
      </c>
      <c r="N40" s="20" t="str">
        <v>铸铁</v>
      </c>
      <c r="O40" s="20" t="str">
        <v>碳钢</v>
      </c>
      <c r="P40" s="20" t="str">
        <v>无</v>
      </c>
      <c r="Q40" s="20" t="str">
        <v>不锈钢</v>
      </c>
      <c r="R40" s="20" t="str">
        <v>IP55/F</v>
      </c>
      <c r="S40" s="20" t="str">
        <v>GB2</v>
      </c>
      <c r="T40" s="20" t="str">
        <v>无</v>
      </c>
      <c r="U40" s="20" t="str">
        <v>WILO</v>
      </c>
      <c r="V40" s="20" t="str">
        <v>WILO</v>
      </c>
      <c r="W40" s="20">
        <v>3</v>
      </c>
      <c r="X40" s="20">
        <v>0.13</v>
      </c>
      <c r="Y40" s="20">
        <v>12000</v>
      </c>
      <c r="Z40" s="20">
        <v>36000</v>
      </c>
      <c r="AA40" s="20" t="str">
        <v>威乐</v>
      </c>
      <c r="AB40" s="27" t="str">
        <v>无预付款，货到现场验收合格2月后付至送货金额80%，竣工验收后付至90%，结算移交档案后付至95%，5%质保2年，供方接受以商票形式支付货款</v>
      </c>
    </row>
    <row r="41" ht="45" spans="1:28">
      <c r="A41" s="20" t="str">
        <v>办公区域生活泵房（辅泵）</v>
      </c>
      <c r="B41" s="20" t="str">
        <v>Helix FIRST V 414</v>
      </c>
      <c r="C41" s="20">
        <v>5</v>
      </c>
      <c r="D41" s="20">
        <v>70</v>
      </c>
      <c r="E41" s="20">
        <v>2900</v>
      </c>
      <c r="F41" s="20">
        <v>2.2</v>
      </c>
      <c r="G41" s="20" t="str">
        <v>不锈钢</v>
      </c>
      <c r="H41" s="20" t="str">
        <v>不锈钢</v>
      </c>
      <c r="I41" s="20" t="str">
        <v>不锈钢</v>
      </c>
      <c r="J41" s="20" t="str">
        <v>不锈钢</v>
      </c>
      <c r="K41" s="20" t="str">
        <v>碳化硅/石墨</v>
      </c>
      <c r="L41" s="20" t="str">
        <v>不锈钢</v>
      </c>
      <c r="M41" s="20" t="str">
        <v>无</v>
      </c>
      <c r="N41" s="20" t="str">
        <v>铸铁</v>
      </c>
      <c r="O41" s="20" t="str">
        <v>碳钢</v>
      </c>
      <c r="P41" s="20" t="str">
        <v>无</v>
      </c>
      <c r="Q41" s="20" t="str">
        <v>不锈钢</v>
      </c>
      <c r="R41" s="20" t="str">
        <v>IP55/F</v>
      </c>
      <c r="S41" s="20" t="str">
        <v>GB2</v>
      </c>
      <c r="T41" s="20" t="str">
        <v>无</v>
      </c>
      <c r="U41" s="20" t="str">
        <v>WILO</v>
      </c>
      <c r="V41" s="20" t="str">
        <v>WILO</v>
      </c>
      <c r="W41" s="20">
        <v>1</v>
      </c>
      <c r="X41" s="20">
        <v>0.13</v>
      </c>
      <c r="Y41" s="20">
        <v>6000</v>
      </c>
      <c r="Z41" s="20">
        <v>6000</v>
      </c>
      <c r="AA41" s="20" t="str">
        <v>威乐</v>
      </c>
      <c r="AB41" s="27" t="str">
        <v>无预付款，货到现场验收合格2月后付至送货金额80%，竣工验收后付至90%，结算移交档案后付至95%，5%质保2年，供方接受以商票形式支付货款</v>
      </c>
    </row>
    <row r="42" ht="45" spans="1:28">
      <c r="A42" s="20" t="str">
        <v>商业冷却塔变频泵组</v>
      </c>
      <c r="B42" s="20" t="str">
        <v>Helix FIRST V 3603</v>
      </c>
      <c r="C42" s="20">
        <v>30</v>
      </c>
      <c r="D42" s="20">
        <v>65</v>
      </c>
      <c r="E42" s="20">
        <v>2900</v>
      </c>
      <c r="F42" s="20">
        <v>11</v>
      </c>
      <c r="G42" s="20" t="str">
        <v>不锈钢</v>
      </c>
      <c r="H42" s="20" t="str">
        <v>不锈钢</v>
      </c>
      <c r="I42" s="20" t="str">
        <v>不锈钢</v>
      </c>
      <c r="J42" s="20" t="str">
        <v>不锈钢</v>
      </c>
      <c r="K42" s="20" t="str">
        <v>碳化硅/石墨</v>
      </c>
      <c r="L42" s="20" t="str">
        <v>不锈钢</v>
      </c>
      <c r="M42" s="20" t="str">
        <v>无</v>
      </c>
      <c r="N42" s="20" t="str">
        <v>铸铁</v>
      </c>
      <c r="O42" s="20" t="str">
        <v>碳钢</v>
      </c>
      <c r="P42" s="20" t="str">
        <v>无</v>
      </c>
      <c r="Q42" s="20" t="str">
        <v>不锈钢</v>
      </c>
      <c r="R42" s="20" t="str">
        <v>IP55/F</v>
      </c>
      <c r="S42" s="20" t="str">
        <v>GB2</v>
      </c>
      <c r="T42" s="20" t="str">
        <v>无</v>
      </c>
      <c r="U42" s="20" t="str">
        <v>WILO</v>
      </c>
      <c r="V42" s="20" t="str">
        <v>WILO</v>
      </c>
      <c r="W42" s="20">
        <v>3</v>
      </c>
      <c r="X42" s="20">
        <v>0.13</v>
      </c>
      <c r="Y42" s="20">
        <v>14750</v>
      </c>
      <c r="Z42" s="20">
        <v>44250</v>
      </c>
      <c r="AA42" s="20" t="str">
        <v>威乐</v>
      </c>
      <c r="AB42" s="27" t="str">
        <v>无预付款，货到现场验收合格2月后付至送货金额80%，竣工验收后付至90%，结算移交档案后付至95%，5%质保2年，供方接受以商票形式支付货款</v>
      </c>
    </row>
    <row r="43" ht="45" spans="1:28">
      <c r="A43" s="20" t="str">
        <v>办公区域生活泵房（主泵）</v>
      </c>
      <c r="B43" s="20" t="str">
        <v>Helix FIRST V 2206</v>
      </c>
      <c r="C43" s="20">
        <v>25</v>
      </c>
      <c r="D43" s="20">
        <v>70</v>
      </c>
      <c r="E43" s="20">
        <v>2900</v>
      </c>
      <c r="F43" s="20">
        <v>7.5</v>
      </c>
      <c r="G43" s="20" t="str">
        <v>不锈钢</v>
      </c>
      <c r="H43" s="20" t="str">
        <v>不锈钢</v>
      </c>
      <c r="I43" s="20" t="str">
        <v>不锈钢</v>
      </c>
      <c r="J43" s="20" t="str">
        <v>不锈钢</v>
      </c>
      <c r="K43" s="20" t="str">
        <v>碳化硅/石墨</v>
      </c>
      <c r="L43" s="20" t="str">
        <v>不锈钢</v>
      </c>
      <c r="M43" s="20" t="str">
        <v>无</v>
      </c>
      <c r="N43" s="20" t="str">
        <v>铸铁</v>
      </c>
      <c r="O43" s="20" t="str">
        <v>碳钢</v>
      </c>
      <c r="P43" s="20" t="str">
        <v>无</v>
      </c>
      <c r="Q43" s="20" t="str">
        <v>不锈钢</v>
      </c>
      <c r="R43" s="20" t="str">
        <v>IP55/F</v>
      </c>
      <c r="S43" s="20" t="str">
        <v>GB2</v>
      </c>
      <c r="T43" s="20" t="str">
        <v>无</v>
      </c>
      <c r="U43" s="20" t="str">
        <v>WILO</v>
      </c>
      <c r="V43" s="20" t="str">
        <v>WILO</v>
      </c>
      <c r="W43" s="20">
        <v>2</v>
      </c>
      <c r="X43" s="20">
        <v>0.13</v>
      </c>
      <c r="Y43" s="20">
        <v>12000</v>
      </c>
      <c r="Z43" s="20">
        <v>24000</v>
      </c>
      <c r="AA43" s="20" t="str">
        <v>威乐</v>
      </c>
      <c r="AB43" s="27" t="str">
        <v>无预付款，货到现场验收合格2月后付至送货金额80%，竣工验收后付至90%，结算移交档案后付至95%，5%质保2年，供方接受以商票形式支付货款</v>
      </c>
    </row>
    <row r="44" ht="45" spans="1:28">
      <c r="A44" s="20" t="str">
        <v>办公区域生活泵房（泵房）</v>
      </c>
      <c r="B44" s="20" t="str">
        <v>Helix FIRST V 1009</v>
      </c>
      <c r="C44" s="20">
        <v>10</v>
      </c>
      <c r="D44" s="20">
        <v>70</v>
      </c>
      <c r="E44" s="20">
        <v>2900</v>
      </c>
      <c r="F44" s="20">
        <v>4</v>
      </c>
      <c r="G44" s="20" t="str">
        <v>不锈钢</v>
      </c>
      <c r="H44" s="20" t="str">
        <v>不锈钢</v>
      </c>
      <c r="I44" s="20" t="str">
        <v>不锈钢</v>
      </c>
      <c r="J44" s="20" t="str">
        <v>不锈钢</v>
      </c>
      <c r="K44" s="20" t="str">
        <v>碳化硅/石墨</v>
      </c>
      <c r="L44" s="20" t="str">
        <v>不锈钢</v>
      </c>
      <c r="M44" s="20" t="str">
        <v>无</v>
      </c>
      <c r="N44" s="20" t="str">
        <v>铸铁</v>
      </c>
      <c r="O44" s="20" t="str">
        <v>碳钢</v>
      </c>
      <c r="P44" s="20" t="str">
        <v>无</v>
      </c>
      <c r="Q44" s="20" t="str">
        <v>不锈钢</v>
      </c>
      <c r="R44" s="20" t="str">
        <v>IP55/F</v>
      </c>
      <c r="S44" s="20" t="str">
        <v>GB2</v>
      </c>
      <c r="T44" s="20" t="str">
        <v>无</v>
      </c>
      <c r="U44" s="20" t="str">
        <v>WILO</v>
      </c>
      <c r="V44" s="20" t="str">
        <v>WILO</v>
      </c>
      <c r="W44" s="20">
        <v>1</v>
      </c>
      <c r="X44" s="20">
        <v>0.13</v>
      </c>
      <c r="Y44" s="20">
        <v>6850</v>
      </c>
      <c r="Z44" s="20">
        <v>6844</v>
      </c>
      <c r="AA44" s="20" t="str">
        <v>威乐</v>
      </c>
      <c r="AB44" s="27" t="str">
        <v>无预付款，货到现场验收合格2月后付至送货金额80%，竣工验收后付至90%，结算移交档案后付至95%，5%质保2年，供方接受以商票形式支付货款</v>
      </c>
    </row>
    <row r="45" ht="45" spans="1:28">
      <c r="A45" s="20" t="str">
        <v>卧式端吸泵(变频)</v>
      </c>
      <c r="B45" s="20" t="str">
        <v>Q=135m3/h H=320kpa,
N=18.5KW,工作压力1.0MPa</v>
      </c>
      <c r="C45" s="20">
        <v>135</v>
      </c>
      <c r="D45" s="20">
        <v>32</v>
      </c>
      <c r="E45" s="20">
        <v>0</v>
      </c>
      <c r="F45" s="20">
        <v>18.5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4</v>
      </c>
      <c r="X45" s="20">
        <v>0.13</v>
      </c>
      <c r="Y45" s="20">
        <v>13896.0055</v>
      </c>
      <c r="Z45" s="20">
        <v>55584.022</v>
      </c>
      <c r="AA45" s="20" t="str">
        <v>荏原</v>
      </c>
      <c r="AB45" s="27" t="str">
        <v>2025.3.4，无预付款，货到现场验收合格后一月付至送货金额的80%，结算并移交档案验收后付至结算金额的90%，审计后付至不超审计金额的97%，3%质保2年，无息支付</v>
      </c>
    </row>
    <row r="46" ht="45" spans="1:28">
      <c r="A46" s="20" t="str">
        <v>卧式端吸泵(变频)</v>
      </c>
      <c r="B46" s="20" t="str">
        <v>Q=50m3/h H=215kpa,
N=7.5KW,工作压力1.0MPa</v>
      </c>
      <c r="C46" s="20">
        <v>50</v>
      </c>
      <c r="D46" s="20">
        <v>21</v>
      </c>
      <c r="E46" s="20">
        <v>0</v>
      </c>
      <c r="F46" s="20">
        <v>7.5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4</v>
      </c>
      <c r="X46" s="20">
        <v>0.13</v>
      </c>
      <c r="Y46" s="20">
        <v>8916.0051</v>
      </c>
      <c r="Z46" s="20">
        <v>35664.0204</v>
      </c>
      <c r="AA46" s="20" t="str">
        <v>荏原</v>
      </c>
      <c r="AB46" s="27" t="str">
        <v>2025.3.4，无预付款，货到现场验收合格后一月付至送货金额的80%，结算并移交档案验收后付至结算金额的90%，审计后付至不超审计金额的97%，3%质保2年，无息支付</v>
      </c>
    </row>
    <row r="47" ht="45" spans="1:28">
      <c r="A47" s="20" t="str">
        <v>卧式端吸泵(变频)</v>
      </c>
      <c r="B47" s="20" t="str">
        <v>Q=135m3/h H=320kpa,
N=18.5KW,工作压力1.6MPa</v>
      </c>
      <c r="C47" s="20">
        <v>135</v>
      </c>
      <c r="D47" s="20">
        <v>32</v>
      </c>
      <c r="E47" s="20">
        <v>0</v>
      </c>
      <c r="F47" s="20">
        <v>18.5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8</v>
      </c>
      <c r="X47" s="20">
        <v>0.13</v>
      </c>
      <c r="Y47" s="20">
        <v>13896.0055</v>
      </c>
      <c r="Z47" s="20">
        <v>111168.044</v>
      </c>
      <c r="AA47" s="20" t="str">
        <v>荏原</v>
      </c>
      <c r="AB47" s="27" t="str">
        <v>2025.3.4，无预付款，货到现场验收合格后一月付至送货金额的80%，结算并移交档案验收后付至结算金额的90%，审计后付至不超审计金额的97%，3%质保2年，无息支付</v>
      </c>
    </row>
    <row r="48" ht="45" spans="1:28">
      <c r="A48" s="20" t="str">
        <v>卧式端吸泵(变频)</v>
      </c>
      <c r="B48" s="20" t="str">
        <v>Q=55m3/h H=225kna.
N=7.5KW,工作压力1.6MPa</v>
      </c>
      <c r="C48" s="20">
        <v>55</v>
      </c>
      <c r="D48" s="20">
        <v>22</v>
      </c>
      <c r="E48" s="20">
        <v>0</v>
      </c>
      <c r="F48" s="20">
        <v>7.5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8</v>
      </c>
      <c r="X48" s="20">
        <v>0.13</v>
      </c>
      <c r="Y48" s="20">
        <v>9072.996</v>
      </c>
      <c r="Z48" s="20">
        <v>72583.968</v>
      </c>
      <c r="AA48" s="20" t="str">
        <v>荏原</v>
      </c>
      <c r="AB48" s="27" t="str">
        <v>2025.3.4，无预付款，货到现场验收合格后一月付至送货金额的80%，结算并移交档案验收后付至结算金额的90%，审计后付至不超审计金额的97%，3%质保2年，无息支付</v>
      </c>
    </row>
  </sheetData>
  <mergeCells count="14">
    <mergeCell ref="G1:S1"/>
    <mergeCell ref="T1:V1"/>
    <mergeCell ref="A1:A2"/>
    <mergeCell ref="B1:B2"/>
    <mergeCell ref="C1:C2"/>
    <mergeCell ref="D1:D2"/>
    <mergeCell ref="E1:E2"/>
    <mergeCell ref="F1:F2"/>
    <mergeCell ref="W1:W2"/>
    <mergeCell ref="X1:X2"/>
    <mergeCell ref="Y1:Y2"/>
    <mergeCell ref="Z1:Z2"/>
    <mergeCell ref="AA1:AA2"/>
    <mergeCell ref="AB1:A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zoomScale="40" zoomScaleNormal="40" workbookViewId="0">
      <pane ySplit="2" topLeftCell="A3" activePane="bottomLeft" state="frozen"/>
      <selection/>
      <selection pane="bottomLeft" activeCell="A1" sqref="A1:AB2"/>
    </sheetView>
  </sheetViews>
  <sheetFormatPr defaultColWidth="8.66666666666667" defaultRowHeight="15"/>
  <cols>
    <col min="2" max="2" width="13.6166666666667" customWidth="1"/>
    <col min="24" max="25" width="9.66666666666667"/>
    <col min="28" max="28" width="36.3" customWidth="1"/>
  </cols>
  <sheetData>
    <row r="1" spans="1:28">
      <c r="A1" s="38" t="s">
        <v>1</v>
      </c>
      <c r="B1" s="38" t="s">
        <v>2</v>
      </c>
      <c r="C1" s="38" t="s">
        <v>3</v>
      </c>
      <c r="D1" s="38" t="s">
        <v>4</v>
      </c>
      <c r="E1" s="38" t="s">
        <v>5</v>
      </c>
      <c r="F1" s="38" t="s">
        <v>6</v>
      </c>
      <c r="G1" s="39" t="s">
        <v>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40" t="s">
        <v>8</v>
      </c>
      <c r="U1" s="41"/>
      <c r="V1" s="42"/>
      <c r="W1" s="38" t="s">
        <v>9</v>
      </c>
      <c r="X1" s="43" t="s">
        <v>10</v>
      </c>
      <c r="Y1" s="38" t="s">
        <v>11</v>
      </c>
      <c r="Z1" s="38" t="s">
        <v>12</v>
      </c>
      <c r="AA1" s="44" t="s">
        <v>34</v>
      </c>
      <c r="AB1" s="45" t="s">
        <v>13</v>
      </c>
    </row>
    <row r="2" ht="26" spans="1:28">
      <c r="A2" s="2"/>
      <c r="B2" s="2"/>
      <c r="C2" s="2"/>
      <c r="D2" s="2"/>
      <c r="E2" s="2"/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46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18</v>
      </c>
      <c r="W2" s="2"/>
      <c r="X2" s="47"/>
      <c r="Y2" s="2"/>
      <c r="Z2" s="2"/>
      <c r="AA2" s="21"/>
      <c r="AB2" s="48"/>
    </row>
    <row r="3" ht="45" spans="1:28">
      <c r="A3" s="2" t="s">
        <v>32</v>
      </c>
      <c r="B3" s="2" t="s">
        <v>35</v>
      </c>
      <c r="C3" s="2">
        <v>600</v>
      </c>
      <c r="D3" s="2">
        <v>30</v>
      </c>
      <c r="E3" s="2">
        <v>1450</v>
      </c>
      <c r="F3" s="2">
        <v>75</v>
      </c>
      <c r="G3" s="2" t="s">
        <v>36</v>
      </c>
      <c r="H3" s="2" t="s">
        <v>36</v>
      </c>
      <c r="I3" s="2" t="s">
        <v>37</v>
      </c>
      <c r="J3" s="2" t="s">
        <v>37</v>
      </c>
      <c r="K3" s="2" t="s">
        <v>38</v>
      </c>
      <c r="L3" s="2" t="s">
        <v>37</v>
      </c>
      <c r="M3" s="2" t="s">
        <v>37</v>
      </c>
      <c r="N3" s="2" t="s">
        <v>36</v>
      </c>
      <c r="O3" s="2" t="s">
        <v>39</v>
      </c>
      <c r="P3" s="2" t="s">
        <v>40</v>
      </c>
      <c r="Q3" s="2" t="s">
        <v>36</v>
      </c>
      <c r="R3" s="2" t="s">
        <v>41</v>
      </c>
      <c r="S3" s="2" t="s">
        <v>42</v>
      </c>
      <c r="T3" s="2" t="s">
        <v>43</v>
      </c>
      <c r="U3" s="2" t="s">
        <v>44</v>
      </c>
      <c r="V3" s="2" t="s">
        <v>45</v>
      </c>
      <c r="W3" s="2">
        <v>4</v>
      </c>
      <c r="X3" s="25">
        <v>0.13</v>
      </c>
      <c r="Y3" s="26">
        <v>59269</v>
      </c>
      <c r="Z3" s="26">
        <f t="shared" ref="Z3:Z9" si="0">Y3*W3</f>
        <v>237076</v>
      </c>
      <c r="AA3" s="26" t="s">
        <v>46</v>
      </c>
      <c r="AB3" s="35" t="s">
        <v>47</v>
      </c>
    </row>
    <row r="4" ht="45" spans="1:28">
      <c r="A4" s="2" t="s">
        <v>30</v>
      </c>
      <c r="B4" s="2" t="s">
        <v>48</v>
      </c>
      <c r="C4" s="2">
        <v>302</v>
      </c>
      <c r="D4" s="2">
        <v>30</v>
      </c>
      <c r="E4" s="2">
        <v>1450</v>
      </c>
      <c r="F4" s="2">
        <v>37</v>
      </c>
      <c r="G4" s="2" t="s">
        <v>36</v>
      </c>
      <c r="H4" s="2" t="s">
        <v>36</v>
      </c>
      <c r="I4" s="2" t="s">
        <v>37</v>
      </c>
      <c r="J4" s="2" t="s">
        <v>37</v>
      </c>
      <c r="K4" s="2" t="s">
        <v>38</v>
      </c>
      <c r="L4" s="2" t="s">
        <v>37</v>
      </c>
      <c r="M4" s="2" t="s">
        <v>37</v>
      </c>
      <c r="N4" s="2" t="s">
        <v>36</v>
      </c>
      <c r="O4" s="2" t="s">
        <v>39</v>
      </c>
      <c r="P4" s="2" t="s">
        <v>40</v>
      </c>
      <c r="Q4" s="2" t="s">
        <v>36</v>
      </c>
      <c r="R4" s="2" t="s">
        <v>41</v>
      </c>
      <c r="S4" s="2" t="s">
        <v>42</v>
      </c>
      <c r="T4" s="2" t="s">
        <v>43</v>
      </c>
      <c r="U4" s="2" t="s">
        <v>44</v>
      </c>
      <c r="V4" s="2" t="s">
        <v>45</v>
      </c>
      <c r="W4" s="2">
        <v>2</v>
      </c>
      <c r="X4" s="25">
        <v>0.13</v>
      </c>
      <c r="Y4" s="26">
        <v>25902</v>
      </c>
      <c r="Z4" s="26">
        <f t="shared" si="0"/>
        <v>51804</v>
      </c>
      <c r="AA4" s="26" t="s">
        <v>46</v>
      </c>
      <c r="AB4" s="35" t="s">
        <v>47</v>
      </c>
    </row>
    <row r="5" ht="45" spans="1:28">
      <c r="A5" s="2" t="s">
        <v>30</v>
      </c>
      <c r="B5" s="2" t="s">
        <v>49</v>
      </c>
      <c r="C5" s="2">
        <v>378</v>
      </c>
      <c r="D5" s="2">
        <v>30</v>
      </c>
      <c r="E5" s="2">
        <v>1450</v>
      </c>
      <c r="F5" s="2">
        <v>45</v>
      </c>
      <c r="G5" s="2" t="s">
        <v>36</v>
      </c>
      <c r="H5" s="2" t="s">
        <v>36</v>
      </c>
      <c r="I5" s="2" t="s">
        <v>37</v>
      </c>
      <c r="J5" s="2" t="s">
        <v>37</v>
      </c>
      <c r="K5" s="2" t="s">
        <v>38</v>
      </c>
      <c r="L5" s="2" t="s">
        <v>37</v>
      </c>
      <c r="M5" s="2" t="s">
        <v>37</v>
      </c>
      <c r="N5" s="2" t="s">
        <v>36</v>
      </c>
      <c r="O5" s="2" t="s">
        <v>39</v>
      </c>
      <c r="P5" s="2" t="s">
        <v>40</v>
      </c>
      <c r="Q5" s="2" t="s">
        <v>36</v>
      </c>
      <c r="R5" s="2" t="s">
        <v>41</v>
      </c>
      <c r="S5" s="2" t="s">
        <v>42</v>
      </c>
      <c r="T5" s="2" t="s">
        <v>43</v>
      </c>
      <c r="U5" s="2" t="s">
        <v>44</v>
      </c>
      <c r="V5" s="2" t="s">
        <v>45</v>
      </c>
      <c r="W5" s="2">
        <v>2</v>
      </c>
      <c r="X5" s="25">
        <v>0.13</v>
      </c>
      <c r="Y5" s="26">
        <v>32760</v>
      </c>
      <c r="Z5" s="26">
        <f t="shared" si="0"/>
        <v>65520</v>
      </c>
      <c r="AA5" s="26" t="s">
        <v>46</v>
      </c>
      <c r="AB5" s="35" t="s">
        <v>47</v>
      </c>
    </row>
    <row r="6" ht="45" spans="1:28">
      <c r="A6" s="2" t="s">
        <v>30</v>
      </c>
      <c r="B6" s="2" t="s">
        <v>50</v>
      </c>
      <c r="C6" s="2">
        <v>424</v>
      </c>
      <c r="D6" s="2">
        <v>37</v>
      </c>
      <c r="E6" s="2">
        <v>1450</v>
      </c>
      <c r="F6" s="2">
        <v>55</v>
      </c>
      <c r="G6" s="2" t="s">
        <v>36</v>
      </c>
      <c r="H6" s="2" t="s">
        <v>36</v>
      </c>
      <c r="I6" s="2" t="s">
        <v>37</v>
      </c>
      <c r="J6" s="2" t="s">
        <v>37</v>
      </c>
      <c r="K6" s="2" t="s">
        <v>38</v>
      </c>
      <c r="L6" s="2" t="s">
        <v>37</v>
      </c>
      <c r="M6" s="2" t="s">
        <v>37</v>
      </c>
      <c r="N6" s="2" t="s">
        <v>36</v>
      </c>
      <c r="O6" s="2" t="s">
        <v>39</v>
      </c>
      <c r="P6" s="2" t="s">
        <v>40</v>
      </c>
      <c r="Q6" s="2" t="s">
        <v>36</v>
      </c>
      <c r="R6" s="2" t="s">
        <v>41</v>
      </c>
      <c r="S6" s="2" t="s">
        <v>42</v>
      </c>
      <c r="T6" s="2" t="s">
        <v>43</v>
      </c>
      <c r="U6" s="2" t="s">
        <v>44</v>
      </c>
      <c r="V6" s="2" t="s">
        <v>45</v>
      </c>
      <c r="W6" s="2">
        <v>4</v>
      </c>
      <c r="X6" s="25">
        <v>0.13</v>
      </c>
      <c r="Y6" s="26">
        <v>38334</v>
      </c>
      <c r="Z6" s="26">
        <f t="shared" si="0"/>
        <v>153336</v>
      </c>
      <c r="AA6" s="26" t="s">
        <v>46</v>
      </c>
      <c r="AB6" s="35" t="s">
        <v>47</v>
      </c>
    </row>
    <row r="7" ht="45" spans="1:28">
      <c r="A7" s="2" t="s">
        <v>30</v>
      </c>
      <c r="B7" s="2" t="s">
        <v>51</v>
      </c>
      <c r="C7" s="2">
        <v>212</v>
      </c>
      <c r="D7" s="2">
        <v>37</v>
      </c>
      <c r="E7" s="2">
        <v>1450</v>
      </c>
      <c r="F7" s="2">
        <v>30</v>
      </c>
      <c r="G7" s="2" t="s">
        <v>36</v>
      </c>
      <c r="H7" s="2" t="s">
        <v>36</v>
      </c>
      <c r="I7" s="2" t="s">
        <v>37</v>
      </c>
      <c r="J7" s="2" t="s">
        <v>37</v>
      </c>
      <c r="K7" s="2" t="s">
        <v>38</v>
      </c>
      <c r="L7" s="2" t="s">
        <v>37</v>
      </c>
      <c r="M7" s="2" t="s">
        <v>37</v>
      </c>
      <c r="N7" s="2" t="s">
        <v>36</v>
      </c>
      <c r="O7" s="2" t="s">
        <v>39</v>
      </c>
      <c r="P7" s="2" t="s">
        <v>40</v>
      </c>
      <c r="Q7" s="2" t="s">
        <v>36</v>
      </c>
      <c r="R7" s="2" t="s">
        <v>41</v>
      </c>
      <c r="S7" s="2" t="s">
        <v>42</v>
      </c>
      <c r="T7" s="2" t="s">
        <v>43</v>
      </c>
      <c r="U7" s="2" t="s">
        <v>44</v>
      </c>
      <c r="V7" s="2" t="s">
        <v>45</v>
      </c>
      <c r="W7" s="2">
        <v>2</v>
      </c>
      <c r="X7" s="25">
        <v>0.13</v>
      </c>
      <c r="Y7" s="26">
        <v>23446</v>
      </c>
      <c r="Z7" s="26">
        <f t="shared" si="0"/>
        <v>46892</v>
      </c>
      <c r="AA7" s="26" t="s">
        <v>46</v>
      </c>
      <c r="AB7" s="35" t="s">
        <v>47</v>
      </c>
    </row>
    <row r="8" ht="45" spans="1:28">
      <c r="A8" s="2" t="s">
        <v>30</v>
      </c>
      <c r="B8" s="2" t="s">
        <v>52</v>
      </c>
      <c r="C8" s="2">
        <v>265</v>
      </c>
      <c r="D8" s="2">
        <v>37</v>
      </c>
      <c r="E8" s="2">
        <v>1450</v>
      </c>
      <c r="F8" s="2">
        <v>45</v>
      </c>
      <c r="G8" s="2" t="s">
        <v>36</v>
      </c>
      <c r="H8" s="2" t="s">
        <v>36</v>
      </c>
      <c r="I8" s="2" t="s">
        <v>37</v>
      </c>
      <c r="J8" s="2" t="s">
        <v>37</v>
      </c>
      <c r="K8" s="2" t="s">
        <v>38</v>
      </c>
      <c r="L8" s="2" t="s">
        <v>37</v>
      </c>
      <c r="M8" s="2" t="s">
        <v>37</v>
      </c>
      <c r="N8" s="2" t="s">
        <v>36</v>
      </c>
      <c r="O8" s="2" t="s">
        <v>39</v>
      </c>
      <c r="P8" s="2" t="s">
        <v>40</v>
      </c>
      <c r="Q8" s="2" t="s">
        <v>36</v>
      </c>
      <c r="R8" s="2" t="s">
        <v>41</v>
      </c>
      <c r="S8" s="2" t="s">
        <v>42</v>
      </c>
      <c r="T8" s="2" t="s">
        <v>43</v>
      </c>
      <c r="U8" s="2" t="s">
        <v>44</v>
      </c>
      <c r="V8" s="2" t="s">
        <v>45</v>
      </c>
      <c r="W8" s="2">
        <v>2</v>
      </c>
      <c r="X8" s="25">
        <v>0.13</v>
      </c>
      <c r="Y8" s="26">
        <v>32183</v>
      </c>
      <c r="Z8" s="26">
        <f t="shared" si="0"/>
        <v>64366</v>
      </c>
      <c r="AA8" s="26" t="s">
        <v>46</v>
      </c>
      <c r="AB8" s="35" t="s">
        <v>47</v>
      </c>
    </row>
    <row r="9" ht="45" spans="1:28">
      <c r="A9" s="2" t="s">
        <v>30</v>
      </c>
      <c r="B9" s="2" t="s">
        <v>53</v>
      </c>
      <c r="C9" s="2">
        <v>190</v>
      </c>
      <c r="D9" s="2">
        <v>29</v>
      </c>
      <c r="E9" s="2">
        <v>1450</v>
      </c>
      <c r="F9" s="2">
        <v>22</v>
      </c>
      <c r="G9" s="2" t="s">
        <v>36</v>
      </c>
      <c r="H9" s="2" t="s">
        <v>36</v>
      </c>
      <c r="I9" s="2" t="s">
        <v>37</v>
      </c>
      <c r="J9" s="2" t="s">
        <v>37</v>
      </c>
      <c r="K9" s="2" t="s">
        <v>38</v>
      </c>
      <c r="L9" s="2" t="s">
        <v>37</v>
      </c>
      <c r="M9" s="2" t="s">
        <v>37</v>
      </c>
      <c r="N9" s="2" t="s">
        <v>36</v>
      </c>
      <c r="O9" s="2" t="s">
        <v>39</v>
      </c>
      <c r="P9" s="2" t="s">
        <v>40</v>
      </c>
      <c r="Q9" s="2" t="s">
        <v>36</v>
      </c>
      <c r="R9" s="2" t="s">
        <v>41</v>
      </c>
      <c r="S9" s="2" t="s">
        <v>42</v>
      </c>
      <c r="T9" s="2" t="s">
        <v>43</v>
      </c>
      <c r="U9" s="2" t="s">
        <v>44</v>
      </c>
      <c r="V9" s="2" t="s">
        <v>45</v>
      </c>
      <c r="W9" s="2">
        <v>3</v>
      </c>
      <c r="X9" s="25">
        <v>0.13</v>
      </c>
      <c r="Y9" s="26">
        <v>20696</v>
      </c>
      <c r="Z9" s="26">
        <f t="shared" si="0"/>
        <v>62088</v>
      </c>
      <c r="AA9" s="26" t="s">
        <v>46</v>
      </c>
      <c r="AB9" s="35" t="s">
        <v>47</v>
      </c>
    </row>
  </sheetData>
  <mergeCells count="14">
    <mergeCell ref="G1:S1"/>
    <mergeCell ref="T1:V1"/>
    <mergeCell ref="A1:A2"/>
    <mergeCell ref="B1:B2"/>
    <mergeCell ref="C1:C2"/>
    <mergeCell ref="D1:D2"/>
    <mergeCell ref="E1:E2"/>
    <mergeCell ref="F1:F2"/>
    <mergeCell ref="W1:W2"/>
    <mergeCell ref="X1:X2"/>
    <mergeCell ref="Y1:Y2"/>
    <mergeCell ref="Z1:Z2"/>
    <mergeCell ref="AA1:AA2"/>
    <mergeCell ref="AB1:A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"/>
  <sheetViews>
    <sheetView zoomScale="55" zoomScaleNormal="55" workbookViewId="0">
      <selection activeCell="A1" sqref="A1:AB2"/>
    </sheetView>
  </sheetViews>
  <sheetFormatPr defaultColWidth="8.66666666666667" defaultRowHeight="42" customHeight="1"/>
  <cols>
    <col min="13" max="13" width="14.9916666666667" customWidth="1"/>
    <col min="28" max="28" width="33.2083333333333" customWidth="1"/>
  </cols>
  <sheetData>
    <row r="1" ht="21" customHeight="1" spans="1:28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7" t="s">
        <v>7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8</v>
      </c>
      <c r="U1" s="17"/>
      <c r="V1" s="17"/>
      <c r="W1" s="2" t="s">
        <v>9</v>
      </c>
      <c r="X1" s="3" t="s">
        <v>10</v>
      </c>
      <c r="Y1" s="2" t="s">
        <v>11</v>
      </c>
      <c r="Z1" s="2" t="s">
        <v>12</v>
      </c>
      <c r="AA1" s="18" t="s">
        <v>34</v>
      </c>
      <c r="AB1" s="31" t="s">
        <v>13</v>
      </c>
    </row>
    <row r="2" ht="21" customHeight="1" spans="1:28">
      <c r="A2" s="2"/>
      <c r="B2" s="2"/>
      <c r="C2" s="2"/>
      <c r="D2" s="2"/>
      <c r="E2" s="2"/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3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18</v>
      </c>
      <c r="W2" s="2"/>
      <c r="X2" s="20"/>
      <c r="Y2" s="2"/>
      <c r="Z2" s="2"/>
      <c r="AA2" s="21"/>
      <c r="AB2" s="31"/>
    </row>
    <row r="3" customHeight="1" spans="1:28">
      <c r="A3" s="32" t="s">
        <v>54</v>
      </c>
      <c r="B3" s="32" t="s">
        <v>55</v>
      </c>
      <c r="C3" s="32">
        <v>208</v>
      </c>
      <c r="D3" s="32">
        <v>31</v>
      </c>
      <c r="E3" s="32">
        <v>1450</v>
      </c>
      <c r="F3" s="32">
        <v>30</v>
      </c>
      <c r="G3" s="33" t="s">
        <v>36</v>
      </c>
      <c r="H3" s="33" t="s">
        <v>56</v>
      </c>
      <c r="I3" s="33" t="s">
        <v>37</v>
      </c>
      <c r="J3" s="33" t="s">
        <v>57</v>
      </c>
      <c r="K3" s="33" t="s">
        <v>58</v>
      </c>
      <c r="L3" s="33" t="s">
        <v>37</v>
      </c>
      <c r="M3" s="33" t="s">
        <v>59</v>
      </c>
      <c r="N3" s="33" t="s">
        <v>60</v>
      </c>
      <c r="O3" s="33" t="s">
        <v>61</v>
      </c>
      <c r="P3" s="33" t="s">
        <v>62</v>
      </c>
      <c r="Q3" s="33" t="s">
        <v>36</v>
      </c>
      <c r="R3" s="33" t="s">
        <v>41</v>
      </c>
      <c r="S3" s="33" t="s">
        <v>63</v>
      </c>
      <c r="T3" s="33" t="s">
        <v>64</v>
      </c>
      <c r="U3" s="33" t="s">
        <v>65</v>
      </c>
      <c r="V3" s="33" t="s">
        <v>66</v>
      </c>
      <c r="W3" s="33">
        <v>5</v>
      </c>
      <c r="X3" s="33">
        <v>20353.982300885</v>
      </c>
      <c r="Y3" s="34">
        <v>23000</v>
      </c>
      <c r="Z3" s="34">
        <v>115000</v>
      </c>
      <c r="AA3" s="34" t="s">
        <v>66</v>
      </c>
      <c r="AB3" s="35" t="s">
        <v>67</v>
      </c>
    </row>
    <row r="4" customHeight="1" spans="1:28">
      <c r="A4" s="32" t="s">
        <v>54</v>
      </c>
      <c r="B4" s="32" t="s">
        <v>55</v>
      </c>
      <c r="C4" s="32">
        <v>152</v>
      </c>
      <c r="D4" s="32">
        <v>31</v>
      </c>
      <c r="E4" s="32">
        <v>1450</v>
      </c>
      <c r="F4" s="32">
        <v>18.5</v>
      </c>
      <c r="G4" s="33" t="s">
        <v>36</v>
      </c>
      <c r="H4" s="33" t="s">
        <v>56</v>
      </c>
      <c r="I4" s="33" t="s">
        <v>37</v>
      </c>
      <c r="J4" s="33" t="s">
        <v>57</v>
      </c>
      <c r="K4" s="33" t="s">
        <v>58</v>
      </c>
      <c r="L4" s="33" t="s">
        <v>37</v>
      </c>
      <c r="M4" s="33" t="s">
        <v>59</v>
      </c>
      <c r="N4" s="33" t="s">
        <v>60</v>
      </c>
      <c r="O4" s="33" t="s">
        <v>36</v>
      </c>
      <c r="P4" s="33" t="s">
        <v>62</v>
      </c>
      <c r="Q4" s="33" t="s">
        <v>36</v>
      </c>
      <c r="R4" s="33" t="s">
        <v>41</v>
      </c>
      <c r="S4" s="33" t="s">
        <v>63</v>
      </c>
      <c r="T4" s="33" t="s">
        <v>64</v>
      </c>
      <c r="U4" s="33" t="s">
        <v>65</v>
      </c>
      <c r="V4" s="33" t="s">
        <v>66</v>
      </c>
      <c r="W4" s="33">
        <v>4</v>
      </c>
      <c r="X4" s="33">
        <v>18584.0707964602</v>
      </c>
      <c r="Y4" s="34">
        <v>21000</v>
      </c>
      <c r="Z4" s="34">
        <v>84000</v>
      </c>
      <c r="AA4" s="34" t="s">
        <v>66</v>
      </c>
      <c r="AB4" s="35" t="s">
        <v>67</v>
      </c>
    </row>
    <row r="5" customHeight="1" spans="1:28">
      <c r="A5" s="32" t="s">
        <v>54</v>
      </c>
      <c r="B5" s="32" t="s">
        <v>55</v>
      </c>
      <c r="C5" s="32">
        <v>210</v>
      </c>
      <c r="D5" s="32">
        <v>29</v>
      </c>
      <c r="E5" s="32">
        <v>1450</v>
      </c>
      <c r="F5" s="32">
        <v>30</v>
      </c>
      <c r="G5" s="33" t="s">
        <v>36</v>
      </c>
      <c r="H5" s="33" t="s">
        <v>56</v>
      </c>
      <c r="I5" s="33" t="s">
        <v>37</v>
      </c>
      <c r="J5" s="33" t="s">
        <v>57</v>
      </c>
      <c r="K5" s="33" t="s">
        <v>58</v>
      </c>
      <c r="L5" s="33" t="s">
        <v>37</v>
      </c>
      <c r="M5" s="33" t="s">
        <v>59</v>
      </c>
      <c r="N5" s="33" t="s">
        <v>60</v>
      </c>
      <c r="O5" s="33" t="s">
        <v>61</v>
      </c>
      <c r="P5" s="33" t="s">
        <v>62</v>
      </c>
      <c r="Q5" s="33" t="s">
        <v>36</v>
      </c>
      <c r="R5" s="33" t="s">
        <v>41</v>
      </c>
      <c r="S5" s="33" t="s">
        <v>63</v>
      </c>
      <c r="T5" s="33" t="s">
        <v>64</v>
      </c>
      <c r="U5" s="33" t="s">
        <v>65</v>
      </c>
      <c r="V5" s="33" t="s">
        <v>66</v>
      </c>
      <c r="W5" s="33">
        <v>3</v>
      </c>
      <c r="X5" s="33">
        <v>23008.8495575221</v>
      </c>
      <c r="Y5" s="34">
        <v>26000</v>
      </c>
      <c r="Z5" s="34">
        <v>78000</v>
      </c>
      <c r="AA5" s="34" t="s">
        <v>66</v>
      </c>
      <c r="AB5" s="35" t="s">
        <v>67</v>
      </c>
    </row>
    <row r="6" customHeight="1" spans="1:28">
      <c r="A6" s="33" t="s">
        <v>54</v>
      </c>
      <c r="B6" s="33" t="s">
        <v>68</v>
      </c>
      <c r="C6" s="33">
        <v>52</v>
      </c>
      <c r="D6" s="33">
        <v>24.6</v>
      </c>
      <c r="E6" s="33">
        <v>1450</v>
      </c>
      <c r="F6" s="33">
        <v>5.5</v>
      </c>
      <c r="G6" s="33" t="s">
        <v>36</v>
      </c>
      <c r="H6" s="33" t="s">
        <v>56</v>
      </c>
      <c r="I6" s="33" t="s">
        <v>37</v>
      </c>
      <c r="J6" s="33" t="s">
        <v>57</v>
      </c>
      <c r="K6" s="33" t="s">
        <v>58</v>
      </c>
      <c r="L6" s="33" t="s">
        <v>37</v>
      </c>
      <c r="M6" s="33" t="s">
        <v>59</v>
      </c>
      <c r="N6" s="33" t="s">
        <v>60</v>
      </c>
      <c r="O6" s="33" t="s">
        <v>61</v>
      </c>
      <c r="P6" s="33" t="s">
        <v>62</v>
      </c>
      <c r="Q6" s="33" t="s">
        <v>36</v>
      </c>
      <c r="R6" s="33" t="s">
        <v>41</v>
      </c>
      <c r="S6" s="33" t="s">
        <v>63</v>
      </c>
      <c r="T6" s="33" t="s">
        <v>64</v>
      </c>
      <c r="U6" s="33" t="s">
        <v>65</v>
      </c>
      <c r="V6" s="33" t="s">
        <v>66</v>
      </c>
      <c r="W6" s="33">
        <v>3</v>
      </c>
      <c r="X6" s="33">
        <v>13274.3362831858</v>
      </c>
      <c r="Y6" s="34">
        <v>15000</v>
      </c>
      <c r="Z6" s="34">
        <v>45000</v>
      </c>
      <c r="AA6" s="34" t="s">
        <v>66</v>
      </c>
      <c r="AB6" s="35" t="s">
        <v>67</v>
      </c>
    </row>
    <row r="7" customHeight="1" spans="1:28">
      <c r="A7" s="33" t="s">
        <v>54</v>
      </c>
      <c r="B7" s="36" t="s">
        <v>69</v>
      </c>
      <c r="C7" s="33">
        <v>444</v>
      </c>
      <c r="D7" s="33">
        <v>43</v>
      </c>
      <c r="E7" s="33">
        <v>1450</v>
      </c>
      <c r="F7" s="36">
        <v>75</v>
      </c>
      <c r="G7" s="33" t="s">
        <v>36</v>
      </c>
      <c r="H7" s="33" t="s">
        <v>56</v>
      </c>
      <c r="I7" s="33" t="s">
        <v>37</v>
      </c>
      <c r="J7" s="33" t="s">
        <v>57</v>
      </c>
      <c r="K7" s="33" t="s">
        <v>58</v>
      </c>
      <c r="L7" s="33" t="s">
        <v>37</v>
      </c>
      <c r="M7" s="33" t="s">
        <v>59</v>
      </c>
      <c r="N7" s="33" t="s">
        <v>60</v>
      </c>
      <c r="O7" s="33" t="s">
        <v>61</v>
      </c>
      <c r="P7" s="33" t="s">
        <v>62</v>
      </c>
      <c r="Q7" s="33" t="s">
        <v>36</v>
      </c>
      <c r="R7" s="33" t="s">
        <v>41</v>
      </c>
      <c r="S7" s="33" t="s">
        <v>63</v>
      </c>
      <c r="T7" s="33" t="s">
        <v>64</v>
      </c>
      <c r="U7" s="33" t="s">
        <v>65</v>
      </c>
      <c r="V7" s="33" t="s">
        <v>66</v>
      </c>
      <c r="W7" s="33">
        <v>3</v>
      </c>
      <c r="X7" s="33">
        <v>39823.0088495575</v>
      </c>
      <c r="Y7" s="34">
        <v>45000</v>
      </c>
      <c r="Z7" s="34">
        <v>135000</v>
      </c>
      <c r="AA7" s="34" t="s">
        <v>66</v>
      </c>
      <c r="AB7" s="35" t="s">
        <v>67</v>
      </c>
    </row>
    <row r="8" customHeight="1" spans="1:28">
      <c r="A8" s="33" t="s">
        <v>54</v>
      </c>
      <c r="B8" s="36" t="s">
        <v>70</v>
      </c>
      <c r="C8" s="33">
        <v>194</v>
      </c>
      <c r="D8" s="33">
        <v>43</v>
      </c>
      <c r="E8" s="33">
        <v>1450</v>
      </c>
      <c r="F8" s="36">
        <v>37</v>
      </c>
      <c r="G8" s="33" t="s">
        <v>36</v>
      </c>
      <c r="H8" s="33" t="s">
        <v>56</v>
      </c>
      <c r="I8" s="33" t="s">
        <v>37</v>
      </c>
      <c r="J8" s="33" t="s">
        <v>57</v>
      </c>
      <c r="K8" s="33" t="s">
        <v>58</v>
      </c>
      <c r="L8" s="33" t="s">
        <v>37</v>
      </c>
      <c r="M8" s="33" t="s">
        <v>59</v>
      </c>
      <c r="N8" s="33" t="s">
        <v>60</v>
      </c>
      <c r="O8" s="33" t="s">
        <v>61</v>
      </c>
      <c r="P8" s="33" t="s">
        <v>62</v>
      </c>
      <c r="Q8" s="33" t="s">
        <v>36</v>
      </c>
      <c r="R8" s="33" t="s">
        <v>41</v>
      </c>
      <c r="S8" s="33" t="s">
        <v>63</v>
      </c>
      <c r="T8" s="33" t="s">
        <v>64</v>
      </c>
      <c r="U8" s="33" t="s">
        <v>65</v>
      </c>
      <c r="V8" s="33" t="s">
        <v>66</v>
      </c>
      <c r="W8" s="33">
        <v>2</v>
      </c>
      <c r="X8" s="33">
        <v>23893.8053097345</v>
      </c>
      <c r="Y8" s="34">
        <v>27000</v>
      </c>
      <c r="Z8" s="34">
        <v>54000</v>
      </c>
      <c r="AA8" s="34" t="s">
        <v>66</v>
      </c>
      <c r="AB8" s="35" t="s">
        <v>67</v>
      </c>
    </row>
    <row r="9" customHeight="1" spans="1:28">
      <c r="A9" s="33" t="s">
        <v>54</v>
      </c>
      <c r="B9" s="33" t="s">
        <v>55</v>
      </c>
      <c r="C9" s="33">
        <v>166</v>
      </c>
      <c r="D9" s="33">
        <v>26.1</v>
      </c>
      <c r="E9" s="33">
        <v>1450</v>
      </c>
      <c r="F9" s="33">
        <v>18.5</v>
      </c>
      <c r="G9" s="33" t="s">
        <v>36</v>
      </c>
      <c r="H9" s="33" t="s">
        <v>56</v>
      </c>
      <c r="I9" s="33" t="s">
        <v>37</v>
      </c>
      <c r="J9" s="33" t="s">
        <v>57</v>
      </c>
      <c r="K9" s="33" t="s">
        <v>58</v>
      </c>
      <c r="L9" s="33" t="s">
        <v>37</v>
      </c>
      <c r="M9" s="33" t="s">
        <v>59</v>
      </c>
      <c r="N9" s="33" t="s">
        <v>60</v>
      </c>
      <c r="O9" s="33" t="s">
        <v>61</v>
      </c>
      <c r="P9" s="33" t="s">
        <v>62</v>
      </c>
      <c r="Q9" s="33" t="s">
        <v>36</v>
      </c>
      <c r="R9" s="33" t="s">
        <v>41</v>
      </c>
      <c r="S9" s="33" t="s">
        <v>63</v>
      </c>
      <c r="T9" s="33" t="s">
        <v>64</v>
      </c>
      <c r="U9" s="33" t="s">
        <v>65</v>
      </c>
      <c r="V9" s="33" t="s">
        <v>66</v>
      </c>
      <c r="W9" s="33">
        <v>3</v>
      </c>
      <c r="X9" s="33">
        <v>20353.982300885</v>
      </c>
      <c r="Y9" s="34">
        <v>23000</v>
      </c>
      <c r="Z9" s="34">
        <v>69000</v>
      </c>
      <c r="AA9" s="34" t="s">
        <v>66</v>
      </c>
      <c r="AB9" s="35" t="s">
        <v>67</v>
      </c>
    </row>
    <row r="10" customHeight="1" spans="1:28">
      <c r="A10" s="32" t="s">
        <v>71</v>
      </c>
      <c r="B10" s="32" t="s">
        <v>72</v>
      </c>
      <c r="C10" s="32">
        <v>53</v>
      </c>
      <c r="D10" s="32">
        <v>23</v>
      </c>
      <c r="E10" s="32">
        <v>2900</v>
      </c>
      <c r="F10" s="32">
        <v>7.5</v>
      </c>
      <c r="G10" s="33" t="s">
        <v>36</v>
      </c>
      <c r="H10" s="33" t="s">
        <v>56</v>
      </c>
      <c r="I10" s="33" t="s">
        <v>36</v>
      </c>
      <c r="J10" s="33" t="s">
        <v>57</v>
      </c>
      <c r="K10" s="33" t="s">
        <v>58</v>
      </c>
      <c r="L10" s="33" t="s">
        <v>37</v>
      </c>
      <c r="M10" s="33" t="s">
        <v>59</v>
      </c>
      <c r="N10" s="33" t="s">
        <v>73</v>
      </c>
      <c r="O10" s="33" t="s">
        <v>61</v>
      </c>
      <c r="P10" s="33" t="s">
        <v>62</v>
      </c>
      <c r="Q10" s="33" t="s">
        <v>36</v>
      </c>
      <c r="R10" s="33" t="s">
        <v>41</v>
      </c>
      <c r="S10" s="33" t="s">
        <v>63</v>
      </c>
      <c r="T10" s="33" t="s">
        <v>64</v>
      </c>
      <c r="U10" s="33" t="s">
        <v>65</v>
      </c>
      <c r="V10" s="33" t="s">
        <v>66</v>
      </c>
      <c r="W10" s="33">
        <v>3</v>
      </c>
      <c r="X10" s="33">
        <v>13274.3362831858</v>
      </c>
      <c r="Y10" s="34">
        <v>15000</v>
      </c>
      <c r="Z10" s="34">
        <v>45000</v>
      </c>
      <c r="AA10" s="34" t="s">
        <v>66</v>
      </c>
      <c r="AB10" s="35" t="s">
        <v>67</v>
      </c>
    </row>
    <row r="11" customHeight="1" spans="1:28">
      <c r="A11" s="32" t="s">
        <v>74</v>
      </c>
      <c r="B11" s="32" t="s">
        <v>72</v>
      </c>
      <c r="C11" s="32">
        <v>50</v>
      </c>
      <c r="D11" s="32">
        <v>25</v>
      </c>
      <c r="E11" s="32">
        <v>2900</v>
      </c>
      <c r="F11" s="32">
        <v>7.5</v>
      </c>
      <c r="G11" s="33" t="s">
        <v>36</v>
      </c>
      <c r="H11" s="33" t="s">
        <v>56</v>
      </c>
      <c r="I11" s="33" t="s">
        <v>36</v>
      </c>
      <c r="J11" s="33" t="s">
        <v>57</v>
      </c>
      <c r="K11" s="33" t="s">
        <v>58</v>
      </c>
      <c r="L11" s="33" t="s">
        <v>37</v>
      </c>
      <c r="M11" s="33" t="s">
        <v>59</v>
      </c>
      <c r="N11" s="33" t="s">
        <v>73</v>
      </c>
      <c r="O11" s="33" t="s">
        <v>61</v>
      </c>
      <c r="P11" s="33" t="s">
        <v>62</v>
      </c>
      <c r="Q11" s="33" t="s">
        <v>36</v>
      </c>
      <c r="R11" s="33" t="s">
        <v>41</v>
      </c>
      <c r="S11" s="33" t="s">
        <v>63</v>
      </c>
      <c r="T11" s="33" t="s">
        <v>64</v>
      </c>
      <c r="U11" s="33" t="s">
        <v>65</v>
      </c>
      <c r="V11" s="33" t="s">
        <v>66</v>
      </c>
      <c r="W11" s="37">
        <v>3</v>
      </c>
      <c r="X11" s="33">
        <v>13274.3362831858</v>
      </c>
      <c r="Y11" s="34">
        <v>15000</v>
      </c>
      <c r="Z11" s="34">
        <v>45000</v>
      </c>
      <c r="AA11" s="34" t="s">
        <v>66</v>
      </c>
      <c r="AB11" s="35" t="s">
        <v>67</v>
      </c>
    </row>
    <row r="12" customHeight="1" spans="1:28">
      <c r="A12" s="32" t="s">
        <v>75</v>
      </c>
      <c r="B12" s="32" t="s">
        <v>76</v>
      </c>
      <c r="C12" s="32">
        <v>302</v>
      </c>
      <c r="D12" s="32">
        <v>28</v>
      </c>
      <c r="E12" s="32">
        <v>2900</v>
      </c>
      <c r="F12" s="32">
        <v>45</v>
      </c>
      <c r="G12" s="33" t="s">
        <v>36</v>
      </c>
      <c r="H12" s="33" t="s">
        <v>56</v>
      </c>
      <c r="I12" s="33" t="s">
        <v>36</v>
      </c>
      <c r="J12" s="33" t="s">
        <v>57</v>
      </c>
      <c r="K12" s="33" t="s">
        <v>58</v>
      </c>
      <c r="L12" s="33" t="s">
        <v>37</v>
      </c>
      <c r="M12" s="33" t="s">
        <v>59</v>
      </c>
      <c r="N12" s="33" t="s">
        <v>60</v>
      </c>
      <c r="O12" s="33" t="s">
        <v>36</v>
      </c>
      <c r="P12" s="33" t="s">
        <v>62</v>
      </c>
      <c r="Q12" s="33" t="s">
        <v>36</v>
      </c>
      <c r="R12" s="33" t="s">
        <v>41</v>
      </c>
      <c r="S12" s="33" t="s">
        <v>63</v>
      </c>
      <c r="T12" s="33" t="s">
        <v>64</v>
      </c>
      <c r="U12" s="33" t="s">
        <v>65</v>
      </c>
      <c r="V12" s="33" t="s">
        <v>66</v>
      </c>
      <c r="W12" s="37">
        <v>2</v>
      </c>
      <c r="X12" s="33">
        <v>32743.3628318584</v>
      </c>
      <c r="Y12" s="34">
        <v>37000</v>
      </c>
      <c r="Z12" s="34">
        <v>74000</v>
      </c>
      <c r="AA12" s="34" t="s">
        <v>66</v>
      </c>
      <c r="AB12" s="35" t="s">
        <v>67</v>
      </c>
    </row>
    <row r="13" customHeight="1" spans="1:28">
      <c r="A13" s="32" t="s">
        <v>75</v>
      </c>
      <c r="B13" s="32" t="s">
        <v>77</v>
      </c>
      <c r="C13" s="32">
        <v>692</v>
      </c>
      <c r="D13" s="32">
        <v>28</v>
      </c>
      <c r="E13" s="32">
        <v>1450</v>
      </c>
      <c r="F13" s="32">
        <v>90</v>
      </c>
      <c r="G13" s="33" t="s">
        <v>36</v>
      </c>
      <c r="H13" s="33" t="s">
        <v>56</v>
      </c>
      <c r="I13" s="33" t="s">
        <v>36</v>
      </c>
      <c r="J13" s="33" t="s">
        <v>57</v>
      </c>
      <c r="K13" s="33" t="s">
        <v>58</v>
      </c>
      <c r="L13" s="33" t="s">
        <v>37</v>
      </c>
      <c r="M13" s="33" t="s">
        <v>59</v>
      </c>
      <c r="N13" s="33" t="s">
        <v>60</v>
      </c>
      <c r="O13" s="33" t="s">
        <v>36</v>
      </c>
      <c r="P13" s="33" t="s">
        <v>62</v>
      </c>
      <c r="Q13" s="33" t="s">
        <v>36</v>
      </c>
      <c r="R13" s="33" t="s">
        <v>41</v>
      </c>
      <c r="S13" s="33" t="s">
        <v>63</v>
      </c>
      <c r="T13" s="33" t="s">
        <v>64</v>
      </c>
      <c r="U13" s="33" t="s">
        <v>65</v>
      </c>
      <c r="V13" s="33" t="s">
        <v>66</v>
      </c>
      <c r="W13" s="37">
        <v>3</v>
      </c>
      <c r="X13" s="33">
        <v>66371.6814159292</v>
      </c>
      <c r="Y13" s="34">
        <v>75000</v>
      </c>
      <c r="Z13" s="34">
        <v>225000</v>
      </c>
      <c r="AA13" s="34" t="s">
        <v>66</v>
      </c>
      <c r="AB13" s="35" t="s">
        <v>67</v>
      </c>
    </row>
    <row r="14" customHeight="1" spans="1:28">
      <c r="A14" s="32" t="s">
        <v>78</v>
      </c>
      <c r="B14" s="32" t="s">
        <v>79</v>
      </c>
      <c r="C14" s="32">
        <v>25</v>
      </c>
      <c r="D14" s="32">
        <v>32</v>
      </c>
      <c r="E14" s="32">
        <v>2900</v>
      </c>
      <c r="F14" s="32">
        <v>4</v>
      </c>
      <c r="G14" s="33" t="s">
        <v>36</v>
      </c>
      <c r="H14" s="33" t="s">
        <v>56</v>
      </c>
      <c r="I14" s="33" t="s">
        <v>36</v>
      </c>
      <c r="J14" s="33" t="s">
        <v>57</v>
      </c>
      <c r="K14" s="33" t="s">
        <v>58</v>
      </c>
      <c r="L14" s="33" t="s">
        <v>37</v>
      </c>
      <c r="M14" s="33" t="s">
        <v>59</v>
      </c>
      <c r="N14" s="33" t="s">
        <v>73</v>
      </c>
      <c r="O14" s="33" t="s">
        <v>61</v>
      </c>
      <c r="P14" s="33" t="s">
        <v>62</v>
      </c>
      <c r="Q14" s="33" t="s">
        <v>36</v>
      </c>
      <c r="R14" s="33" t="s">
        <v>41</v>
      </c>
      <c r="S14" s="33" t="s">
        <v>63</v>
      </c>
      <c r="T14" s="33" t="s">
        <v>64</v>
      </c>
      <c r="U14" s="33" t="s">
        <v>65</v>
      </c>
      <c r="V14" s="33" t="s">
        <v>66</v>
      </c>
      <c r="W14" s="37">
        <v>3</v>
      </c>
      <c r="X14" s="33">
        <v>7964.60176991151</v>
      </c>
      <c r="Y14" s="34">
        <v>9000</v>
      </c>
      <c r="Z14" s="34">
        <v>27000</v>
      </c>
      <c r="AA14" s="34" t="s">
        <v>66</v>
      </c>
      <c r="AB14" s="35" t="s">
        <v>67</v>
      </c>
    </row>
    <row r="15" customHeight="1" spans="1:28">
      <c r="A15" s="32" t="s">
        <v>78</v>
      </c>
      <c r="B15" s="32" t="s">
        <v>72</v>
      </c>
      <c r="C15" s="32">
        <v>60</v>
      </c>
      <c r="D15" s="32">
        <v>25</v>
      </c>
      <c r="E15" s="32">
        <v>2900</v>
      </c>
      <c r="F15" s="32">
        <v>7.5</v>
      </c>
      <c r="G15" s="33" t="s">
        <v>36</v>
      </c>
      <c r="H15" s="33" t="s">
        <v>56</v>
      </c>
      <c r="I15" s="33" t="s">
        <v>36</v>
      </c>
      <c r="J15" s="33" t="s">
        <v>57</v>
      </c>
      <c r="K15" s="33" t="s">
        <v>58</v>
      </c>
      <c r="L15" s="33" t="s">
        <v>37</v>
      </c>
      <c r="M15" s="33" t="s">
        <v>59</v>
      </c>
      <c r="N15" s="33" t="s">
        <v>73</v>
      </c>
      <c r="O15" s="33" t="s">
        <v>61</v>
      </c>
      <c r="P15" s="33" t="s">
        <v>62</v>
      </c>
      <c r="Q15" s="33" t="s">
        <v>36</v>
      </c>
      <c r="R15" s="33" t="s">
        <v>41</v>
      </c>
      <c r="S15" s="33" t="s">
        <v>63</v>
      </c>
      <c r="T15" s="33" t="s">
        <v>64</v>
      </c>
      <c r="U15" s="33" t="s">
        <v>65</v>
      </c>
      <c r="V15" s="33" t="s">
        <v>66</v>
      </c>
      <c r="W15" s="37">
        <v>3</v>
      </c>
      <c r="X15" s="33">
        <v>9734.51327433628</v>
      </c>
      <c r="Y15" s="34">
        <v>11000</v>
      </c>
      <c r="Z15" s="34">
        <v>33000</v>
      </c>
      <c r="AA15" s="34" t="s">
        <v>66</v>
      </c>
      <c r="AB15" s="35" t="s">
        <v>67</v>
      </c>
    </row>
    <row r="16" customHeight="1" spans="1:28">
      <c r="A16" s="32" t="s">
        <v>78</v>
      </c>
      <c r="B16" s="32" t="s">
        <v>80</v>
      </c>
      <c r="C16" s="32">
        <v>25</v>
      </c>
      <c r="D16" s="32">
        <v>25</v>
      </c>
      <c r="E16" s="32">
        <v>2900</v>
      </c>
      <c r="F16" s="32">
        <v>4</v>
      </c>
      <c r="G16" s="33" t="s">
        <v>36</v>
      </c>
      <c r="H16" s="33" t="s">
        <v>56</v>
      </c>
      <c r="I16" s="33" t="s">
        <v>36</v>
      </c>
      <c r="J16" s="33" t="s">
        <v>57</v>
      </c>
      <c r="K16" s="33" t="s">
        <v>58</v>
      </c>
      <c r="L16" s="33" t="s">
        <v>37</v>
      </c>
      <c r="M16" s="33" t="s">
        <v>59</v>
      </c>
      <c r="N16" s="33" t="s">
        <v>73</v>
      </c>
      <c r="O16" s="33" t="s">
        <v>61</v>
      </c>
      <c r="P16" s="33" t="s">
        <v>62</v>
      </c>
      <c r="Q16" s="33" t="s">
        <v>36</v>
      </c>
      <c r="R16" s="33" t="s">
        <v>41</v>
      </c>
      <c r="S16" s="33" t="s">
        <v>63</v>
      </c>
      <c r="T16" s="33" t="s">
        <v>64</v>
      </c>
      <c r="U16" s="33" t="s">
        <v>65</v>
      </c>
      <c r="V16" s="33" t="s">
        <v>66</v>
      </c>
      <c r="W16" s="37">
        <v>3</v>
      </c>
      <c r="X16" s="33">
        <v>8407.0796460177</v>
      </c>
      <c r="Y16" s="34">
        <v>9500</v>
      </c>
      <c r="Z16" s="34">
        <v>28500</v>
      </c>
      <c r="AA16" s="34" t="s">
        <v>66</v>
      </c>
      <c r="AB16" s="35" t="s">
        <v>67</v>
      </c>
    </row>
    <row r="17" customHeight="1" spans="1:28">
      <c r="A17" s="32" t="s">
        <v>81</v>
      </c>
      <c r="B17" s="32" t="s">
        <v>82</v>
      </c>
      <c r="C17" s="32">
        <v>20</v>
      </c>
      <c r="D17" s="32">
        <v>15</v>
      </c>
      <c r="E17" s="32">
        <v>2900</v>
      </c>
      <c r="F17" s="32">
        <v>3</v>
      </c>
      <c r="G17" s="33" t="s">
        <v>36</v>
      </c>
      <c r="H17" s="33" t="s">
        <v>56</v>
      </c>
      <c r="I17" s="33" t="s">
        <v>36</v>
      </c>
      <c r="J17" s="33" t="s">
        <v>57</v>
      </c>
      <c r="K17" s="33" t="s">
        <v>58</v>
      </c>
      <c r="L17" s="33" t="s">
        <v>37</v>
      </c>
      <c r="M17" s="33" t="s">
        <v>59</v>
      </c>
      <c r="N17" s="33" t="s">
        <v>60</v>
      </c>
      <c r="O17" s="33" t="s">
        <v>61</v>
      </c>
      <c r="P17" s="33" t="s">
        <v>62</v>
      </c>
      <c r="Q17" s="33" t="s">
        <v>36</v>
      </c>
      <c r="R17" s="33" t="s">
        <v>41</v>
      </c>
      <c r="S17" s="33" t="s">
        <v>63</v>
      </c>
      <c r="T17" s="33" t="s">
        <v>64</v>
      </c>
      <c r="U17" s="33" t="s">
        <v>83</v>
      </c>
      <c r="V17" s="33" t="s">
        <v>66</v>
      </c>
      <c r="W17" s="37">
        <v>2</v>
      </c>
      <c r="X17" s="33">
        <v>5309.73451327434</v>
      </c>
      <c r="Y17" s="34">
        <v>6000</v>
      </c>
      <c r="Z17" s="34">
        <v>12000</v>
      </c>
      <c r="AA17" s="34" t="s">
        <v>66</v>
      </c>
      <c r="AB17" s="35" t="s">
        <v>67</v>
      </c>
    </row>
    <row r="18" customHeight="1" spans="1:28">
      <c r="A18" s="32" t="s">
        <v>84</v>
      </c>
      <c r="B18" s="32" t="s">
        <v>85</v>
      </c>
      <c r="C18" s="32">
        <v>20</v>
      </c>
      <c r="D18" s="32">
        <v>30</v>
      </c>
      <c r="E18" s="32">
        <v>2900</v>
      </c>
      <c r="F18" s="32">
        <v>4</v>
      </c>
      <c r="G18" s="33" t="s">
        <v>36</v>
      </c>
      <c r="H18" s="33" t="s">
        <v>56</v>
      </c>
      <c r="I18" s="33" t="s">
        <v>36</v>
      </c>
      <c r="J18" s="33" t="s">
        <v>57</v>
      </c>
      <c r="K18" s="33" t="s">
        <v>58</v>
      </c>
      <c r="L18" s="33" t="s">
        <v>37</v>
      </c>
      <c r="M18" s="33" t="s">
        <v>59</v>
      </c>
      <c r="N18" s="33" t="s">
        <v>73</v>
      </c>
      <c r="O18" s="33" t="s">
        <v>61</v>
      </c>
      <c r="P18" s="33" t="s">
        <v>62</v>
      </c>
      <c r="Q18" s="33" t="s">
        <v>36</v>
      </c>
      <c r="R18" s="33" t="s">
        <v>41</v>
      </c>
      <c r="S18" s="33" t="s">
        <v>63</v>
      </c>
      <c r="T18" s="33" t="s">
        <v>64</v>
      </c>
      <c r="U18" s="33" t="s">
        <v>83</v>
      </c>
      <c r="V18" s="33" t="s">
        <v>66</v>
      </c>
      <c r="W18" s="37">
        <v>2</v>
      </c>
      <c r="X18" s="33">
        <v>6637.16814159292</v>
      </c>
      <c r="Y18" s="34">
        <v>7500</v>
      </c>
      <c r="Z18" s="34">
        <v>15000</v>
      </c>
      <c r="AA18" s="34" t="s">
        <v>66</v>
      </c>
      <c r="AB18" s="35" t="s">
        <v>67</v>
      </c>
    </row>
    <row r="19" customHeight="1" spans="1:28">
      <c r="A19" s="32" t="s">
        <v>86</v>
      </c>
      <c r="B19" s="32" t="s">
        <v>87</v>
      </c>
      <c r="C19" s="32">
        <v>15</v>
      </c>
      <c r="D19" s="32">
        <v>30</v>
      </c>
      <c r="E19" s="32">
        <v>2900</v>
      </c>
      <c r="F19" s="32">
        <v>3</v>
      </c>
      <c r="G19" s="33" t="s">
        <v>37</v>
      </c>
      <c r="H19" s="33" t="s">
        <v>56</v>
      </c>
      <c r="I19" s="33" t="s">
        <v>37</v>
      </c>
      <c r="J19" s="33" t="s">
        <v>57</v>
      </c>
      <c r="K19" s="33" t="s">
        <v>58</v>
      </c>
      <c r="L19" s="33" t="s">
        <v>37</v>
      </c>
      <c r="M19" s="33" t="s">
        <v>59</v>
      </c>
      <c r="N19" s="33" t="s">
        <v>73</v>
      </c>
      <c r="O19" s="33" t="s">
        <v>61</v>
      </c>
      <c r="P19" s="33" t="s">
        <v>62</v>
      </c>
      <c r="Q19" s="33" t="s">
        <v>36</v>
      </c>
      <c r="R19" s="33" t="s">
        <v>41</v>
      </c>
      <c r="S19" s="33" t="s">
        <v>63</v>
      </c>
      <c r="T19" s="33" t="s">
        <v>64</v>
      </c>
      <c r="U19" s="33" t="s">
        <v>83</v>
      </c>
      <c r="V19" s="33" t="s">
        <v>66</v>
      </c>
      <c r="W19" s="37">
        <v>2</v>
      </c>
      <c r="X19" s="33">
        <v>12831.8584070796</v>
      </c>
      <c r="Y19" s="34">
        <v>14500</v>
      </c>
      <c r="Z19" s="34">
        <v>29000</v>
      </c>
      <c r="AA19" s="34" t="s">
        <v>66</v>
      </c>
      <c r="AB19" s="35" t="s">
        <v>67</v>
      </c>
    </row>
  </sheetData>
  <mergeCells count="14">
    <mergeCell ref="G1:S1"/>
    <mergeCell ref="T1:V1"/>
    <mergeCell ref="A1:A2"/>
    <mergeCell ref="B1:B2"/>
    <mergeCell ref="C1:C2"/>
    <mergeCell ref="D1:D2"/>
    <mergeCell ref="E1:E2"/>
    <mergeCell ref="F1:F2"/>
    <mergeCell ref="W1:W2"/>
    <mergeCell ref="X1:X2"/>
    <mergeCell ref="Y1:Y2"/>
    <mergeCell ref="Z1:Z2"/>
    <mergeCell ref="AA1:AA2"/>
    <mergeCell ref="AB1:A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"/>
  <sheetViews>
    <sheetView zoomScale="55" zoomScaleNormal="55" workbookViewId="0">
      <selection activeCell="A1" sqref="A1:AB2"/>
    </sheetView>
  </sheetViews>
  <sheetFormatPr defaultColWidth="8.66666666666667" defaultRowHeight="15"/>
  <cols>
    <col min="1" max="1" width="19" customWidth="1"/>
    <col min="2" max="2" width="19.0833333333333" customWidth="1"/>
    <col min="28" max="28" width="64.7916666666667" style="16" customWidth="1"/>
  </cols>
  <sheetData>
    <row r="1" spans="1:28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7" t="s">
        <v>7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8</v>
      </c>
      <c r="U1" s="17"/>
      <c r="V1" s="17"/>
      <c r="W1" s="2" t="s">
        <v>9</v>
      </c>
      <c r="X1" s="3" t="s">
        <v>10</v>
      </c>
      <c r="Y1" s="2" t="s">
        <v>11</v>
      </c>
      <c r="Z1" s="2" t="s">
        <v>12</v>
      </c>
      <c r="AA1" s="18" t="s">
        <v>34</v>
      </c>
      <c r="AB1" s="19" t="s">
        <v>13</v>
      </c>
    </row>
    <row r="2" ht="26" spans="1:28">
      <c r="A2" s="2"/>
      <c r="B2" s="2"/>
      <c r="C2" s="2"/>
      <c r="D2" s="2"/>
      <c r="E2" s="2"/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3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18</v>
      </c>
      <c r="W2" s="2"/>
      <c r="X2" s="20"/>
      <c r="Y2" s="2"/>
      <c r="Z2" s="2"/>
      <c r="AA2" s="21"/>
      <c r="AB2" s="19"/>
    </row>
    <row r="3" ht="45" spans="1:28">
      <c r="A3" s="2" t="s">
        <v>32</v>
      </c>
      <c r="B3" s="22" t="s">
        <v>88</v>
      </c>
      <c r="C3" s="23">
        <v>509</v>
      </c>
      <c r="D3" s="23">
        <v>29</v>
      </c>
      <c r="E3" s="24">
        <v>1450</v>
      </c>
      <c r="F3" s="2">
        <v>55</v>
      </c>
      <c r="G3" s="2" t="s">
        <v>36</v>
      </c>
      <c r="H3" s="2" t="s">
        <v>36</v>
      </c>
      <c r="I3" s="2" t="s">
        <v>89</v>
      </c>
      <c r="J3" s="2" t="s">
        <v>37</v>
      </c>
      <c r="K3" s="2" t="s">
        <v>90</v>
      </c>
      <c r="L3" s="2" t="s">
        <v>37</v>
      </c>
      <c r="M3" s="2" t="s">
        <v>91</v>
      </c>
      <c r="N3" s="2" t="s">
        <v>39</v>
      </c>
      <c r="O3" s="2" t="s">
        <v>39</v>
      </c>
      <c r="P3" s="2" t="s">
        <v>92</v>
      </c>
      <c r="Q3" s="2" t="s">
        <v>37</v>
      </c>
      <c r="R3" s="2" t="s">
        <v>93</v>
      </c>
      <c r="S3" s="2" t="s">
        <v>94</v>
      </c>
      <c r="T3" s="2" t="s">
        <v>95</v>
      </c>
      <c r="U3" s="2" t="s">
        <v>96</v>
      </c>
      <c r="V3" s="2" t="s">
        <v>96</v>
      </c>
      <c r="W3" s="2">
        <v>5</v>
      </c>
      <c r="X3" s="25">
        <v>0.13</v>
      </c>
      <c r="Y3" s="26">
        <v>43461</v>
      </c>
      <c r="Z3" s="26">
        <v>217305</v>
      </c>
      <c r="AA3" s="26" t="s">
        <v>97</v>
      </c>
      <c r="AB3" s="27" t="s">
        <v>98</v>
      </c>
    </row>
    <row r="4" ht="45" spans="1:28">
      <c r="A4" s="2" t="s">
        <v>32</v>
      </c>
      <c r="B4" s="23" t="s">
        <v>88</v>
      </c>
      <c r="C4" s="23">
        <v>590</v>
      </c>
      <c r="D4" s="23">
        <v>23</v>
      </c>
      <c r="E4" s="24">
        <v>1450</v>
      </c>
      <c r="F4" s="2">
        <v>55</v>
      </c>
      <c r="G4" s="2" t="s">
        <v>36</v>
      </c>
      <c r="H4" s="2" t="s">
        <v>36</v>
      </c>
      <c r="I4" s="2" t="s">
        <v>89</v>
      </c>
      <c r="J4" s="2" t="s">
        <v>37</v>
      </c>
      <c r="K4" s="2" t="s">
        <v>90</v>
      </c>
      <c r="L4" s="2" t="s">
        <v>37</v>
      </c>
      <c r="M4" s="2" t="s">
        <v>91</v>
      </c>
      <c r="N4" s="2" t="s">
        <v>39</v>
      </c>
      <c r="O4" s="2" t="s">
        <v>39</v>
      </c>
      <c r="P4" s="2" t="s">
        <v>92</v>
      </c>
      <c r="Q4" s="2" t="s">
        <v>37</v>
      </c>
      <c r="R4" s="2" t="s">
        <v>93</v>
      </c>
      <c r="S4" s="2" t="s">
        <v>94</v>
      </c>
      <c r="T4" s="2" t="s">
        <v>95</v>
      </c>
      <c r="U4" s="2" t="s">
        <v>96</v>
      </c>
      <c r="V4" s="2" t="s">
        <v>96</v>
      </c>
      <c r="W4" s="2">
        <v>5</v>
      </c>
      <c r="X4" s="25">
        <v>0.13</v>
      </c>
      <c r="Y4" s="26">
        <v>43461</v>
      </c>
      <c r="Z4" s="26">
        <v>217305</v>
      </c>
      <c r="AA4" s="26" t="s">
        <v>97</v>
      </c>
      <c r="AB4" s="27" t="s">
        <v>98</v>
      </c>
    </row>
    <row r="5" ht="45" spans="1:28">
      <c r="A5" s="2" t="s">
        <v>30</v>
      </c>
      <c r="B5" s="23" t="s">
        <v>99</v>
      </c>
      <c r="C5" s="23">
        <v>253</v>
      </c>
      <c r="D5" s="23">
        <v>20</v>
      </c>
      <c r="E5" s="24">
        <v>1450</v>
      </c>
      <c r="F5" s="2">
        <v>18.5</v>
      </c>
      <c r="G5" s="2" t="s">
        <v>36</v>
      </c>
      <c r="H5" s="2" t="s">
        <v>36</v>
      </c>
      <c r="I5" s="2" t="s">
        <v>36</v>
      </c>
      <c r="J5" s="2" t="s">
        <v>37</v>
      </c>
      <c r="K5" s="2" t="s">
        <v>90</v>
      </c>
      <c r="L5" s="2" t="s">
        <v>37</v>
      </c>
      <c r="M5" s="2" t="s">
        <v>91</v>
      </c>
      <c r="N5" s="2" t="s">
        <v>39</v>
      </c>
      <c r="O5" s="2" t="s">
        <v>39</v>
      </c>
      <c r="P5" s="2" t="s">
        <v>91</v>
      </c>
      <c r="Q5" s="2" t="s">
        <v>37</v>
      </c>
      <c r="R5" s="2" t="s">
        <v>93</v>
      </c>
      <c r="S5" s="2" t="s">
        <v>94</v>
      </c>
      <c r="T5" s="2" t="s">
        <v>95</v>
      </c>
      <c r="U5" s="2" t="s">
        <v>96</v>
      </c>
      <c r="V5" s="2" t="s">
        <v>96</v>
      </c>
      <c r="W5" s="2">
        <v>4</v>
      </c>
      <c r="X5" s="25">
        <v>0.13</v>
      </c>
      <c r="Y5" s="26">
        <v>17674</v>
      </c>
      <c r="Z5" s="26">
        <v>70696</v>
      </c>
      <c r="AA5" s="26" t="s">
        <v>97</v>
      </c>
      <c r="AB5" s="27" t="s">
        <v>98</v>
      </c>
    </row>
    <row r="6" ht="45" spans="1:28">
      <c r="A6" s="2" t="s">
        <v>30</v>
      </c>
      <c r="B6" s="23" t="s">
        <v>100</v>
      </c>
      <c r="C6" s="23">
        <v>90</v>
      </c>
      <c r="D6" s="23">
        <v>15</v>
      </c>
      <c r="E6" s="24">
        <v>1450</v>
      </c>
      <c r="F6" s="2">
        <v>5.5</v>
      </c>
      <c r="G6" s="2" t="s">
        <v>36</v>
      </c>
      <c r="H6" s="2" t="s">
        <v>36</v>
      </c>
      <c r="I6" s="2" t="s">
        <v>36</v>
      </c>
      <c r="J6" s="2" t="s">
        <v>37</v>
      </c>
      <c r="K6" s="2" t="s">
        <v>90</v>
      </c>
      <c r="L6" s="2" t="s">
        <v>37</v>
      </c>
      <c r="M6" s="2" t="s">
        <v>91</v>
      </c>
      <c r="N6" s="2" t="s">
        <v>39</v>
      </c>
      <c r="O6" s="2" t="s">
        <v>39</v>
      </c>
      <c r="P6" s="2" t="s">
        <v>91</v>
      </c>
      <c r="Q6" s="2" t="s">
        <v>37</v>
      </c>
      <c r="R6" s="2" t="s">
        <v>93</v>
      </c>
      <c r="S6" s="2" t="s">
        <v>94</v>
      </c>
      <c r="T6" s="2" t="s">
        <v>95</v>
      </c>
      <c r="U6" s="2" t="s">
        <v>96</v>
      </c>
      <c r="V6" s="2" t="s">
        <v>96</v>
      </c>
      <c r="W6" s="2">
        <v>3</v>
      </c>
      <c r="X6" s="25">
        <v>0.13</v>
      </c>
      <c r="Y6" s="26">
        <v>12119</v>
      </c>
      <c r="Z6" s="26">
        <v>36357</v>
      </c>
      <c r="AA6" s="26" t="s">
        <v>97</v>
      </c>
      <c r="AB6" s="27" t="s">
        <v>98</v>
      </c>
    </row>
    <row r="7" ht="45" spans="1:28">
      <c r="A7" s="28" t="s">
        <v>101</v>
      </c>
      <c r="B7" s="23" t="s">
        <v>102</v>
      </c>
      <c r="C7" s="23">
        <v>220</v>
      </c>
      <c r="D7" s="23">
        <v>30</v>
      </c>
      <c r="E7" s="24">
        <v>1450</v>
      </c>
      <c r="F7" s="2">
        <v>30</v>
      </c>
      <c r="G7" s="2" t="s">
        <v>36</v>
      </c>
      <c r="H7" s="2" t="s">
        <v>36</v>
      </c>
      <c r="I7" s="2" t="s">
        <v>36</v>
      </c>
      <c r="J7" s="2" t="s">
        <v>37</v>
      </c>
      <c r="K7" s="2" t="s">
        <v>90</v>
      </c>
      <c r="L7" s="2" t="s">
        <v>37</v>
      </c>
      <c r="M7" s="2" t="s">
        <v>91</v>
      </c>
      <c r="N7" s="2" t="s">
        <v>91</v>
      </c>
      <c r="O7" s="2" t="s">
        <v>39</v>
      </c>
      <c r="P7" s="2" t="s">
        <v>91</v>
      </c>
      <c r="Q7" s="2" t="s">
        <v>37</v>
      </c>
      <c r="R7" s="2" t="s">
        <v>93</v>
      </c>
      <c r="S7" s="2" t="s">
        <v>94</v>
      </c>
      <c r="T7" s="2" t="s">
        <v>91</v>
      </c>
      <c r="U7" s="2" t="s">
        <v>96</v>
      </c>
      <c r="V7" s="2" t="s">
        <v>96</v>
      </c>
      <c r="W7" s="2">
        <v>2</v>
      </c>
      <c r="X7" s="25">
        <v>0.13</v>
      </c>
      <c r="Y7" s="26">
        <v>30731</v>
      </c>
      <c r="Z7" s="26">
        <v>61462</v>
      </c>
      <c r="AA7" s="26" t="s">
        <v>97</v>
      </c>
      <c r="AB7" s="27" t="s">
        <v>98</v>
      </c>
    </row>
    <row r="8" ht="45" spans="1:28">
      <c r="A8" s="28" t="s">
        <v>101</v>
      </c>
      <c r="B8" s="23" t="s">
        <v>102</v>
      </c>
      <c r="C8" s="23">
        <v>220</v>
      </c>
      <c r="D8" s="23">
        <v>30</v>
      </c>
      <c r="E8" s="24">
        <v>1450</v>
      </c>
      <c r="F8" s="2">
        <v>30</v>
      </c>
      <c r="G8" s="2" t="s">
        <v>36</v>
      </c>
      <c r="H8" s="2" t="s">
        <v>36</v>
      </c>
      <c r="I8" s="2" t="s">
        <v>36</v>
      </c>
      <c r="J8" s="2" t="s">
        <v>37</v>
      </c>
      <c r="K8" s="2" t="s">
        <v>90</v>
      </c>
      <c r="L8" s="2" t="s">
        <v>37</v>
      </c>
      <c r="M8" s="2" t="s">
        <v>91</v>
      </c>
      <c r="N8" s="2" t="s">
        <v>91</v>
      </c>
      <c r="O8" s="2" t="s">
        <v>39</v>
      </c>
      <c r="P8" s="2" t="s">
        <v>91</v>
      </c>
      <c r="Q8" s="2" t="s">
        <v>37</v>
      </c>
      <c r="R8" s="2" t="s">
        <v>93</v>
      </c>
      <c r="S8" s="2" t="s">
        <v>94</v>
      </c>
      <c r="T8" s="2" t="s">
        <v>91</v>
      </c>
      <c r="U8" s="2" t="s">
        <v>96</v>
      </c>
      <c r="V8" s="2" t="s">
        <v>96</v>
      </c>
      <c r="W8" s="2">
        <v>2</v>
      </c>
      <c r="X8" s="25">
        <v>0.13</v>
      </c>
      <c r="Y8" s="26">
        <v>30731</v>
      </c>
      <c r="Z8" s="26">
        <v>61462</v>
      </c>
      <c r="AA8" s="26" t="s">
        <v>97</v>
      </c>
      <c r="AB8" s="27" t="s">
        <v>98</v>
      </c>
    </row>
    <row r="9" ht="45" spans="1:28">
      <c r="A9" s="28" t="s">
        <v>101</v>
      </c>
      <c r="B9" s="23" t="s">
        <v>103</v>
      </c>
      <c r="C9" s="23">
        <v>100</v>
      </c>
      <c r="D9" s="23">
        <v>30</v>
      </c>
      <c r="E9" s="24">
        <v>1450</v>
      </c>
      <c r="F9" s="2">
        <v>15</v>
      </c>
      <c r="G9" s="2" t="s">
        <v>36</v>
      </c>
      <c r="H9" s="2" t="s">
        <v>36</v>
      </c>
      <c r="I9" s="2" t="s">
        <v>36</v>
      </c>
      <c r="J9" s="2" t="s">
        <v>37</v>
      </c>
      <c r="K9" s="2" t="s">
        <v>90</v>
      </c>
      <c r="L9" s="2" t="s">
        <v>37</v>
      </c>
      <c r="M9" s="2" t="s">
        <v>91</v>
      </c>
      <c r="N9" s="2" t="s">
        <v>91</v>
      </c>
      <c r="O9" s="2" t="s">
        <v>39</v>
      </c>
      <c r="P9" s="2" t="s">
        <v>91</v>
      </c>
      <c r="Q9" s="2" t="s">
        <v>37</v>
      </c>
      <c r="R9" s="2" t="s">
        <v>93</v>
      </c>
      <c r="S9" s="2" t="s">
        <v>94</v>
      </c>
      <c r="T9" s="2" t="s">
        <v>91</v>
      </c>
      <c r="U9" s="2" t="s">
        <v>96</v>
      </c>
      <c r="V9" s="2" t="s">
        <v>96</v>
      </c>
      <c r="W9" s="2">
        <v>2</v>
      </c>
      <c r="X9" s="25">
        <v>0.13</v>
      </c>
      <c r="Y9" s="26">
        <v>20094</v>
      </c>
      <c r="Z9" s="26">
        <v>40188</v>
      </c>
      <c r="AA9" s="26" t="s">
        <v>97</v>
      </c>
      <c r="AB9" s="27" t="s">
        <v>98</v>
      </c>
    </row>
    <row r="10" ht="45" spans="1:28">
      <c r="A10" s="28" t="s">
        <v>101</v>
      </c>
      <c r="B10" s="23" t="s">
        <v>103</v>
      </c>
      <c r="C10" s="23">
        <v>100</v>
      </c>
      <c r="D10" s="23">
        <v>30</v>
      </c>
      <c r="E10" s="24">
        <v>1450</v>
      </c>
      <c r="F10" s="2">
        <v>15</v>
      </c>
      <c r="G10" s="2" t="s">
        <v>36</v>
      </c>
      <c r="H10" s="2" t="s">
        <v>36</v>
      </c>
      <c r="I10" s="2" t="s">
        <v>36</v>
      </c>
      <c r="J10" s="2" t="s">
        <v>37</v>
      </c>
      <c r="K10" s="2" t="s">
        <v>90</v>
      </c>
      <c r="L10" s="2" t="s">
        <v>37</v>
      </c>
      <c r="M10" s="2" t="s">
        <v>91</v>
      </c>
      <c r="N10" s="2" t="s">
        <v>91</v>
      </c>
      <c r="O10" s="2" t="s">
        <v>39</v>
      </c>
      <c r="P10" s="2" t="s">
        <v>91</v>
      </c>
      <c r="Q10" s="2" t="s">
        <v>37</v>
      </c>
      <c r="R10" s="2" t="s">
        <v>93</v>
      </c>
      <c r="S10" s="2" t="s">
        <v>94</v>
      </c>
      <c r="T10" s="2" t="s">
        <v>91</v>
      </c>
      <c r="U10" s="2" t="s">
        <v>96</v>
      </c>
      <c r="V10" s="2" t="s">
        <v>96</v>
      </c>
      <c r="W10" s="2">
        <v>2</v>
      </c>
      <c r="X10" s="25">
        <v>0.13</v>
      </c>
      <c r="Y10" s="26">
        <v>20094</v>
      </c>
      <c r="Z10" s="26">
        <v>40188</v>
      </c>
      <c r="AA10" s="26" t="s">
        <v>97</v>
      </c>
      <c r="AB10" s="27" t="s">
        <v>98</v>
      </c>
    </row>
    <row r="11" ht="45" spans="1:28">
      <c r="A11" s="28" t="s">
        <v>101</v>
      </c>
      <c r="B11" s="22" t="s">
        <v>104</v>
      </c>
      <c r="C11" s="23">
        <v>200</v>
      </c>
      <c r="D11" s="23">
        <v>25</v>
      </c>
      <c r="E11" s="24">
        <v>1450</v>
      </c>
      <c r="F11" s="2">
        <v>18.5</v>
      </c>
      <c r="G11" s="2" t="s">
        <v>36</v>
      </c>
      <c r="H11" s="2" t="s">
        <v>36</v>
      </c>
      <c r="I11" s="2" t="s">
        <v>36</v>
      </c>
      <c r="J11" s="2" t="s">
        <v>37</v>
      </c>
      <c r="K11" s="2" t="s">
        <v>90</v>
      </c>
      <c r="L11" s="2" t="s">
        <v>37</v>
      </c>
      <c r="M11" s="2" t="s">
        <v>91</v>
      </c>
      <c r="N11" s="2" t="s">
        <v>91</v>
      </c>
      <c r="O11" s="2" t="s">
        <v>39</v>
      </c>
      <c r="P11" s="2" t="s">
        <v>91</v>
      </c>
      <c r="Q11" s="2" t="s">
        <v>37</v>
      </c>
      <c r="R11" s="2" t="s">
        <v>93</v>
      </c>
      <c r="S11" s="2" t="s">
        <v>94</v>
      </c>
      <c r="T11" s="2" t="s">
        <v>91</v>
      </c>
      <c r="U11" s="2" t="s">
        <v>96</v>
      </c>
      <c r="V11" s="2" t="s">
        <v>96</v>
      </c>
      <c r="W11" s="2">
        <v>2</v>
      </c>
      <c r="X11" s="25">
        <v>0.13</v>
      </c>
      <c r="Y11" s="26">
        <v>24502</v>
      </c>
      <c r="Z11" s="26">
        <v>49004</v>
      </c>
      <c r="AA11" s="26" t="s">
        <v>97</v>
      </c>
      <c r="AB11" s="27" t="s">
        <v>98</v>
      </c>
    </row>
    <row r="12" ht="45" spans="1:28">
      <c r="A12" s="28" t="s">
        <v>105</v>
      </c>
      <c r="B12" s="29" t="s">
        <v>106</v>
      </c>
      <c r="C12" s="23">
        <v>75</v>
      </c>
      <c r="D12" s="23">
        <v>65</v>
      </c>
      <c r="E12" s="24">
        <v>2900</v>
      </c>
      <c r="F12" s="2">
        <v>18.5</v>
      </c>
      <c r="G12" s="2" t="s">
        <v>37</v>
      </c>
      <c r="H12" s="2" t="s">
        <v>37</v>
      </c>
      <c r="I12" s="2" t="s">
        <v>37</v>
      </c>
      <c r="J12" s="2" t="s">
        <v>37</v>
      </c>
      <c r="K12" s="2" t="s">
        <v>90</v>
      </c>
      <c r="L12" s="2" t="s">
        <v>37</v>
      </c>
      <c r="M12" s="2" t="s">
        <v>91</v>
      </c>
      <c r="N12" s="2" t="s">
        <v>36</v>
      </c>
      <c r="O12" s="2" t="s">
        <v>39</v>
      </c>
      <c r="P12" s="2" t="s">
        <v>91</v>
      </c>
      <c r="Q12" s="2" t="s">
        <v>37</v>
      </c>
      <c r="R12" s="2" t="s">
        <v>93</v>
      </c>
      <c r="S12" s="2" t="s">
        <v>94</v>
      </c>
      <c r="T12" s="2" t="s">
        <v>91</v>
      </c>
      <c r="U12" s="2" t="s">
        <v>96</v>
      </c>
      <c r="V12" s="2" t="s">
        <v>96</v>
      </c>
      <c r="W12" s="30">
        <v>4</v>
      </c>
      <c r="X12" s="25">
        <v>0.13</v>
      </c>
      <c r="Y12" s="26">
        <v>32000</v>
      </c>
      <c r="Z12" s="26">
        <v>128000</v>
      </c>
      <c r="AA12" s="26" t="s">
        <v>97</v>
      </c>
      <c r="AB12" s="27" t="s">
        <v>98</v>
      </c>
    </row>
    <row r="13" ht="45" spans="1:28">
      <c r="A13" s="28" t="s">
        <v>107</v>
      </c>
      <c r="B13" s="29" t="s">
        <v>108</v>
      </c>
      <c r="C13" s="23">
        <v>25</v>
      </c>
      <c r="D13" s="23">
        <v>67</v>
      </c>
      <c r="E13" s="24">
        <v>2900</v>
      </c>
      <c r="F13" s="2">
        <v>7.5</v>
      </c>
      <c r="G13" s="2" t="s">
        <v>37</v>
      </c>
      <c r="H13" s="2" t="s">
        <v>37</v>
      </c>
      <c r="I13" s="2" t="s">
        <v>37</v>
      </c>
      <c r="J13" s="2" t="s">
        <v>37</v>
      </c>
      <c r="K13" s="2" t="s">
        <v>90</v>
      </c>
      <c r="L13" s="2" t="s">
        <v>37</v>
      </c>
      <c r="M13" s="2" t="s">
        <v>91</v>
      </c>
      <c r="N13" s="2" t="s">
        <v>36</v>
      </c>
      <c r="O13" s="2" t="s">
        <v>39</v>
      </c>
      <c r="P13" s="2" t="s">
        <v>91</v>
      </c>
      <c r="Q13" s="2" t="s">
        <v>37</v>
      </c>
      <c r="R13" s="2" t="s">
        <v>93</v>
      </c>
      <c r="S13" s="2" t="s">
        <v>94</v>
      </c>
      <c r="T13" s="2" t="s">
        <v>91</v>
      </c>
      <c r="U13" s="2" t="s">
        <v>96</v>
      </c>
      <c r="V13" s="2" t="s">
        <v>96</v>
      </c>
      <c r="W13" s="30">
        <v>1</v>
      </c>
      <c r="X13" s="25">
        <v>0.13</v>
      </c>
      <c r="Y13" s="26">
        <v>12000</v>
      </c>
      <c r="Z13" s="26">
        <v>12000</v>
      </c>
      <c r="AA13" s="26" t="s">
        <v>97</v>
      </c>
      <c r="AB13" s="27" t="s">
        <v>98</v>
      </c>
    </row>
    <row r="14" ht="45" spans="1:28">
      <c r="A14" s="30" t="s">
        <v>109</v>
      </c>
      <c r="B14" s="29" t="s">
        <v>106</v>
      </c>
      <c r="C14" s="23">
        <v>75</v>
      </c>
      <c r="D14" s="23">
        <v>65</v>
      </c>
      <c r="E14" s="24">
        <v>2900</v>
      </c>
      <c r="F14" s="2">
        <v>18.5</v>
      </c>
      <c r="G14" s="2" t="s">
        <v>37</v>
      </c>
      <c r="H14" s="2" t="s">
        <v>37</v>
      </c>
      <c r="I14" s="2" t="s">
        <v>37</v>
      </c>
      <c r="J14" s="2" t="s">
        <v>37</v>
      </c>
      <c r="K14" s="2" t="s">
        <v>90</v>
      </c>
      <c r="L14" s="2" t="s">
        <v>37</v>
      </c>
      <c r="M14" s="2" t="s">
        <v>91</v>
      </c>
      <c r="N14" s="2" t="s">
        <v>36</v>
      </c>
      <c r="O14" s="2" t="s">
        <v>39</v>
      </c>
      <c r="P14" s="2" t="s">
        <v>91</v>
      </c>
      <c r="Q14" s="2" t="s">
        <v>37</v>
      </c>
      <c r="R14" s="2" t="s">
        <v>93</v>
      </c>
      <c r="S14" s="2" t="s">
        <v>94</v>
      </c>
      <c r="T14" s="2" t="s">
        <v>91</v>
      </c>
      <c r="U14" s="2" t="s">
        <v>96</v>
      </c>
      <c r="V14" s="2" t="s">
        <v>96</v>
      </c>
      <c r="W14" s="30">
        <v>4</v>
      </c>
      <c r="X14" s="25">
        <v>0.13</v>
      </c>
      <c r="Y14" s="26">
        <v>32000</v>
      </c>
      <c r="Z14" s="26">
        <v>128000</v>
      </c>
      <c r="AA14" s="26" t="s">
        <v>97</v>
      </c>
      <c r="AB14" s="27" t="s">
        <v>98</v>
      </c>
    </row>
    <row r="15" ht="45" spans="1:28">
      <c r="A15" s="30" t="s">
        <v>110</v>
      </c>
      <c r="B15" s="29" t="s">
        <v>108</v>
      </c>
      <c r="C15" s="23">
        <v>25</v>
      </c>
      <c r="D15" s="23">
        <v>67</v>
      </c>
      <c r="E15" s="24">
        <v>2900</v>
      </c>
      <c r="F15" s="2">
        <v>7.5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111</v>
      </c>
      <c r="L15" s="2" t="s">
        <v>37</v>
      </c>
      <c r="M15" s="2" t="s">
        <v>91</v>
      </c>
      <c r="N15" s="2" t="s">
        <v>36</v>
      </c>
      <c r="O15" s="2" t="s">
        <v>39</v>
      </c>
      <c r="P15" s="2" t="s">
        <v>91</v>
      </c>
      <c r="Q15" s="2" t="s">
        <v>37</v>
      </c>
      <c r="R15" s="2" t="s">
        <v>93</v>
      </c>
      <c r="S15" s="2" t="s">
        <v>94</v>
      </c>
      <c r="T15" s="2" t="s">
        <v>91</v>
      </c>
      <c r="U15" s="2" t="s">
        <v>96</v>
      </c>
      <c r="V15" s="2" t="s">
        <v>96</v>
      </c>
      <c r="W15" s="30">
        <v>1</v>
      </c>
      <c r="X15" s="25">
        <v>0.13</v>
      </c>
      <c r="Y15" s="26">
        <v>12000</v>
      </c>
      <c r="Z15" s="26">
        <v>12000</v>
      </c>
      <c r="AA15" s="26" t="s">
        <v>97</v>
      </c>
      <c r="AB15" s="27" t="s">
        <v>98</v>
      </c>
    </row>
    <row r="16" ht="45" spans="1:28">
      <c r="A16" s="30" t="s">
        <v>112</v>
      </c>
      <c r="B16" s="22" t="s">
        <v>108</v>
      </c>
      <c r="C16" s="23">
        <v>25</v>
      </c>
      <c r="D16" s="23">
        <v>70</v>
      </c>
      <c r="E16" s="24">
        <v>2900</v>
      </c>
      <c r="F16" s="2">
        <v>7.5</v>
      </c>
      <c r="G16" s="2" t="s">
        <v>37</v>
      </c>
      <c r="H16" s="2" t="s">
        <v>37</v>
      </c>
      <c r="I16" s="2" t="s">
        <v>37</v>
      </c>
      <c r="J16" s="2" t="s">
        <v>37</v>
      </c>
      <c r="K16" s="2" t="s">
        <v>111</v>
      </c>
      <c r="L16" s="2" t="s">
        <v>37</v>
      </c>
      <c r="M16" s="2" t="s">
        <v>91</v>
      </c>
      <c r="N16" s="2" t="s">
        <v>36</v>
      </c>
      <c r="O16" s="2" t="s">
        <v>39</v>
      </c>
      <c r="P16" s="2" t="s">
        <v>91</v>
      </c>
      <c r="Q16" s="2" t="s">
        <v>37</v>
      </c>
      <c r="R16" s="2" t="s">
        <v>93</v>
      </c>
      <c r="S16" s="2" t="s">
        <v>94</v>
      </c>
      <c r="T16" s="2" t="s">
        <v>91</v>
      </c>
      <c r="U16" s="2" t="s">
        <v>96</v>
      </c>
      <c r="V16" s="2" t="s">
        <v>96</v>
      </c>
      <c r="W16" s="2">
        <v>3</v>
      </c>
      <c r="X16" s="25">
        <v>0.13</v>
      </c>
      <c r="Y16" s="26">
        <v>12000</v>
      </c>
      <c r="Z16" s="26">
        <v>36000</v>
      </c>
      <c r="AA16" s="26" t="s">
        <v>97</v>
      </c>
      <c r="AB16" s="27" t="s">
        <v>98</v>
      </c>
    </row>
    <row r="17" ht="45" spans="1:28">
      <c r="A17" s="30" t="s">
        <v>113</v>
      </c>
      <c r="B17" s="22" t="s">
        <v>114</v>
      </c>
      <c r="C17" s="23">
        <v>5</v>
      </c>
      <c r="D17" s="23">
        <v>70</v>
      </c>
      <c r="E17" s="24">
        <v>2900</v>
      </c>
      <c r="F17" s="2">
        <v>2.2</v>
      </c>
      <c r="G17" s="2" t="s">
        <v>37</v>
      </c>
      <c r="H17" s="2" t="s">
        <v>37</v>
      </c>
      <c r="I17" s="2" t="s">
        <v>37</v>
      </c>
      <c r="J17" s="2" t="s">
        <v>37</v>
      </c>
      <c r="K17" s="2" t="s">
        <v>111</v>
      </c>
      <c r="L17" s="2" t="s">
        <v>37</v>
      </c>
      <c r="M17" s="2" t="s">
        <v>91</v>
      </c>
      <c r="N17" s="2" t="s">
        <v>36</v>
      </c>
      <c r="O17" s="2" t="s">
        <v>39</v>
      </c>
      <c r="P17" s="2" t="s">
        <v>91</v>
      </c>
      <c r="Q17" s="2" t="s">
        <v>37</v>
      </c>
      <c r="R17" s="2" t="s">
        <v>93</v>
      </c>
      <c r="S17" s="2" t="s">
        <v>94</v>
      </c>
      <c r="T17" s="2" t="s">
        <v>91</v>
      </c>
      <c r="U17" s="2" t="s">
        <v>96</v>
      </c>
      <c r="V17" s="2" t="s">
        <v>96</v>
      </c>
      <c r="W17" s="2">
        <v>1</v>
      </c>
      <c r="X17" s="25">
        <v>0.13</v>
      </c>
      <c r="Y17" s="26">
        <v>6000</v>
      </c>
      <c r="Z17" s="26">
        <v>6000</v>
      </c>
      <c r="AA17" s="26" t="s">
        <v>97</v>
      </c>
      <c r="AB17" s="27" t="s">
        <v>98</v>
      </c>
    </row>
    <row r="18" ht="45" spans="1:28">
      <c r="A18" s="2" t="s">
        <v>115</v>
      </c>
      <c r="B18" s="22" t="s">
        <v>116</v>
      </c>
      <c r="C18" s="23">
        <v>30</v>
      </c>
      <c r="D18" s="23">
        <v>65</v>
      </c>
      <c r="E18" s="23">
        <v>2900</v>
      </c>
      <c r="F18" s="23">
        <v>11</v>
      </c>
      <c r="G18" s="2" t="s">
        <v>37</v>
      </c>
      <c r="H18" s="2" t="s">
        <v>37</v>
      </c>
      <c r="I18" s="2" t="s">
        <v>37</v>
      </c>
      <c r="J18" s="2" t="s">
        <v>37</v>
      </c>
      <c r="K18" s="2" t="s">
        <v>111</v>
      </c>
      <c r="L18" s="2" t="s">
        <v>37</v>
      </c>
      <c r="M18" s="2" t="s">
        <v>91</v>
      </c>
      <c r="N18" s="2" t="s">
        <v>36</v>
      </c>
      <c r="O18" s="2" t="s">
        <v>39</v>
      </c>
      <c r="P18" s="2" t="s">
        <v>91</v>
      </c>
      <c r="Q18" s="2" t="s">
        <v>37</v>
      </c>
      <c r="R18" s="2" t="s">
        <v>93</v>
      </c>
      <c r="S18" s="2" t="s">
        <v>94</v>
      </c>
      <c r="T18" s="2" t="s">
        <v>91</v>
      </c>
      <c r="U18" s="2" t="s">
        <v>96</v>
      </c>
      <c r="V18" s="2" t="s">
        <v>96</v>
      </c>
      <c r="W18" s="2">
        <v>3</v>
      </c>
      <c r="X18" s="25">
        <v>0.13</v>
      </c>
      <c r="Y18" s="26">
        <v>14750</v>
      </c>
      <c r="Z18" s="26">
        <v>44250</v>
      </c>
      <c r="AA18" s="26" t="s">
        <v>97</v>
      </c>
      <c r="AB18" s="27" t="s">
        <v>98</v>
      </c>
    </row>
    <row r="19" ht="45" spans="1:28">
      <c r="A19" s="22" t="s">
        <v>112</v>
      </c>
      <c r="B19" s="22" t="s">
        <v>108</v>
      </c>
      <c r="C19" s="22">
        <v>25</v>
      </c>
      <c r="D19" s="22">
        <v>70</v>
      </c>
      <c r="E19" s="24">
        <v>2900</v>
      </c>
      <c r="F19" s="22">
        <v>7.5</v>
      </c>
      <c r="G19" s="2" t="s">
        <v>37</v>
      </c>
      <c r="H19" s="2" t="s">
        <v>37</v>
      </c>
      <c r="I19" s="2" t="s">
        <v>37</v>
      </c>
      <c r="J19" s="2" t="s">
        <v>37</v>
      </c>
      <c r="K19" s="2" t="s">
        <v>111</v>
      </c>
      <c r="L19" s="2" t="s">
        <v>37</v>
      </c>
      <c r="M19" s="2" t="s">
        <v>91</v>
      </c>
      <c r="N19" s="2" t="s">
        <v>36</v>
      </c>
      <c r="O19" s="2" t="s">
        <v>39</v>
      </c>
      <c r="P19" s="2" t="s">
        <v>91</v>
      </c>
      <c r="Q19" s="2" t="s">
        <v>37</v>
      </c>
      <c r="R19" s="2" t="s">
        <v>93</v>
      </c>
      <c r="S19" s="2" t="s">
        <v>94</v>
      </c>
      <c r="T19" s="2" t="s">
        <v>91</v>
      </c>
      <c r="U19" s="2" t="s">
        <v>96</v>
      </c>
      <c r="V19" s="2" t="s">
        <v>96</v>
      </c>
      <c r="W19" s="2">
        <v>2</v>
      </c>
      <c r="X19" s="25">
        <v>0.13</v>
      </c>
      <c r="Y19" s="26">
        <v>12000</v>
      </c>
      <c r="Z19" s="26">
        <v>24000</v>
      </c>
      <c r="AA19" s="26" t="s">
        <v>97</v>
      </c>
      <c r="AB19" s="27" t="s">
        <v>98</v>
      </c>
    </row>
    <row r="20" ht="45" spans="1:28">
      <c r="A20" s="22" t="s">
        <v>117</v>
      </c>
      <c r="B20" s="22" t="s">
        <v>118</v>
      </c>
      <c r="C20" s="22">
        <v>10</v>
      </c>
      <c r="D20" s="22">
        <v>70</v>
      </c>
      <c r="E20" s="23">
        <v>2900</v>
      </c>
      <c r="F20" s="22">
        <v>4</v>
      </c>
      <c r="G20" s="2" t="s">
        <v>37</v>
      </c>
      <c r="H20" s="2" t="s">
        <v>37</v>
      </c>
      <c r="I20" s="2" t="s">
        <v>37</v>
      </c>
      <c r="J20" s="2" t="s">
        <v>37</v>
      </c>
      <c r="K20" s="2" t="s">
        <v>111</v>
      </c>
      <c r="L20" s="2" t="s">
        <v>37</v>
      </c>
      <c r="M20" s="2" t="s">
        <v>91</v>
      </c>
      <c r="N20" s="2" t="s">
        <v>36</v>
      </c>
      <c r="O20" s="2" t="s">
        <v>39</v>
      </c>
      <c r="P20" s="2" t="s">
        <v>91</v>
      </c>
      <c r="Q20" s="2" t="s">
        <v>37</v>
      </c>
      <c r="R20" s="2" t="s">
        <v>93</v>
      </c>
      <c r="S20" s="2" t="s">
        <v>94</v>
      </c>
      <c r="T20" s="2" t="s">
        <v>91</v>
      </c>
      <c r="U20" s="2" t="s">
        <v>96</v>
      </c>
      <c r="V20" s="2" t="s">
        <v>96</v>
      </c>
      <c r="W20" s="2">
        <v>1</v>
      </c>
      <c r="X20" s="25">
        <v>0.13</v>
      </c>
      <c r="Y20" s="26">
        <v>6850</v>
      </c>
      <c r="Z20" s="26">
        <v>6844</v>
      </c>
      <c r="AA20" s="26" t="s">
        <v>97</v>
      </c>
      <c r="AB20" s="27" t="s">
        <v>98</v>
      </c>
    </row>
  </sheetData>
  <mergeCells count="14">
    <mergeCell ref="G1:S1"/>
    <mergeCell ref="T1:V1"/>
    <mergeCell ref="A1:A2"/>
    <mergeCell ref="B1:B2"/>
    <mergeCell ref="C1:C2"/>
    <mergeCell ref="D1:D2"/>
    <mergeCell ref="E1:E2"/>
    <mergeCell ref="F1:F2"/>
    <mergeCell ref="W1:W2"/>
    <mergeCell ref="X1:X2"/>
    <mergeCell ref="Y1:Y2"/>
    <mergeCell ref="Z1:Z2"/>
    <mergeCell ref="AA1:AA2"/>
    <mergeCell ref="AB1:A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zoomScale="55" zoomScaleNormal="55" workbookViewId="0">
      <selection activeCell="A1" sqref="A1:AB2"/>
    </sheetView>
  </sheetViews>
  <sheetFormatPr defaultColWidth="8.66666666666667" defaultRowHeight="15" outlineLevelRow="5"/>
  <cols>
    <col min="1" max="1" width="11.0833333333333" style="1" customWidth="1"/>
    <col min="2" max="2" width="19.75" style="1" customWidth="1"/>
    <col min="3" max="3" width="8.83333333333333" style="1" customWidth="1"/>
    <col min="4" max="4" width="6.33333333333333" style="1" customWidth="1"/>
    <col min="5" max="5" width="11.1666666666667" style="1" customWidth="1"/>
    <col min="6" max="7" width="7.25" style="1" customWidth="1"/>
    <col min="8" max="8" width="3.25" style="1" customWidth="1"/>
    <col min="9" max="9" width="7.25" style="1" customWidth="1"/>
    <col min="10" max="10" width="8.41666666666667" style="1" customWidth="1"/>
    <col min="11" max="24" width="8.66666666666667" style="1"/>
    <col min="25" max="27" width="11.6666666666667" style="1"/>
    <col min="28" max="28" width="33.6333333333333" style="1" customWidth="1"/>
    <col min="29" max="16384" width="8.66666666666667" style="1"/>
  </cols>
  <sheetData>
    <row r="1" customFormat="1" spans="1:28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 t="s">
        <v>8</v>
      </c>
      <c r="U1" s="3"/>
      <c r="V1" s="3"/>
      <c r="W1" s="2" t="s">
        <v>119</v>
      </c>
      <c r="X1" s="3" t="s">
        <v>10</v>
      </c>
      <c r="Y1" s="2" t="s">
        <v>11</v>
      </c>
      <c r="Z1" s="2" t="s">
        <v>12</v>
      </c>
      <c r="AA1" s="2" t="s">
        <v>34</v>
      </c>
      <c r="AB1" s="2" t="s">
        <v>13</v>
      </c>
    </row>
    <row r="2" customFormat="1" ht="26" spans="1:28">
      <c r="A2" s="2"/>
      <c r="B2" s="2"/>
      <c r="C2" s="2"/>
      <c r="D2" s="2"/>
      <c r="E2" s="2"/>
      <c r="F2" s="2"/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3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18</v>
      </c>
      <c r="W2" s="2"/>
      <c r="X2" s="4"/>
      <c r="Y2" s="2"/>
      <c r="Z2" s="2"/>
      <c r="AA2" s="2"/>
      <c r="AB2" s="2"/>
    </row>
    <row r="3" ht="42" customHeight="1" spans="1:28">
      <c r="A3" s="5" t="s">
        <v>120</v>
      </c>
      <c r="B3" s="6" t="s">
        <v>121</v>
      </c>
      <c r="C3" s="7">
        <v>135</v>
      </c>
      <c r="D3" s="6">
        <v>32</v>
      </c>
      <c r="E3" s="6"/>
      <c r="F3" s="8">
        <v>18.5</v>
      </c>
      <c r="G3" s="6"/>
      <c r="H3" s="6"/>
      <c r="I3" s="9"/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0"/>
      <c r="W3" s="6">
        <v>4</v>
      </c>
      <c r="X3" s="11">
        <v>0.13</v>
      </c>
      <c r="Y3" s="12">
        <v>13896.0055</v>
      </c>
      <c r="Z3" s="12">
        <v>55584.022</v>
      </c>
      <c r="AA3" s="6" t="s">
        <v>122</v>
      </c>
      <c r="AB3" s="13" t="s">
        <v>123</v>
      </c>
    </row>
    <row r="4" ht="41" customHeight="1" spans="1:28">
      <c r="A4" s="6" t="s">
        <v>120</v>
      </c>
      <c r="B4" s="6" t="s">
        <v>124</v>
      </c>
      <c r="C4" s="4">
        <v>50</v>
      </c>
      <c r="D4" s="4">
        <v>21</v>
      </c>
      <c r="E4" s="4"/>
      <c r="F4" s="4">
        <v>7.5</v>
      </c>
      <c r="G4" s="10"/>
      <c r="H4" s="4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0"/>
      <c r="W4" s="6">
        <v>4</v>
      </c>
      <c r="X4" s="11">
        <v>0.13</v>
      </c>
      <c r="Y4" s="12">
        <v>8916.0051</v>
      </c>
      <c r="Z4" s="12">
        <v>35664.0204</v>
      </c>
      <c r="AA4" s="7" t="s">
        <v>125</v>
      </c>
      <c r="AB4" s="13" t="s">
        <v>123</v>
      </c>
    </row>
    <row r="5" ht="36" customHeight="1" spans="1:28">
      <c r="A5" s="14" t="s">
        <v>120</v>
      </c>
      <c r="B5" s="6" t="s">
        <v>126</v>
      </c>
      <c r="C5" s="4">
        <v>135</v>
      </c>
      <c r="D5" s="4">
        <v>32</v>
      </c>
      <c r="E5" s="4"/>
      <c r="F5" s="4">
        <v>18.5</v>
      </c>
      <c r="G5" s="10"/>
      <c r="H5" s="4"/>
      <c r="I5" s="10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0"/>
      <c r="W5" s="6">
        <v>8</v>
      </c>
      <c r="X5" s="11">
        <v>0.13</v>
      </c>
      <c r="Y5" s="12">
        <v>13896.0055</v>
      </c>
      <c r="Z5" s="12">
        <v>111168.044</v>
      </c>
      <c r="AA5" s="8" t="s">
        <v>122</v>
      </c>
      <c r="AB5" s="13" t="s">
        <v>123</v>
      </c>
    </row>
    <row r="6" ht="38" customHeight="1" spans="1:28">
      <c r="A6" s="6" t="s">
        <v>120</v>
      </c>
      <c r="B6" s="6" t="s">
        <v>127</v>
      </c>
      <c r="C6" s="4">
        <v>55</v>
      </c>
      <c r="D6" s="4">
        <v>22</v>
      </c>
      <c r="E6" s="4"/>
      <c r="F6" s="4">
        <v>7.5</v>
      </c>
      <c r="G6" s="10"/>
      <c r="H6" s="4"/>
      <c r="I6" s="10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10"/>
      <c r="W6" s="6">
        <v>8</v>
      </c>
      <c r="X6" s="11">
        <v>0.13</v>
      </c>
      <c r="Y6" s="12">
        <v>9072.996</v>
      </c>
      <c r="Z6" s="12">
        <v>72583.968</v>
      </c>
      <c r="AA6" s="15" t="s">
        <v>122</v>
      </c>
      <c r="AB6" s="13" t="s">
        <v>123</v>
      </c>
    </row>
  </sheetData>
  <mergeCells count="14">
    <mergeCell ref="G1:S1"/>
    <mergeCell ref="T1:V1"/>
    <mergeCell ref="A1:A2"/>
    <mergeCell ref="B1:B2"/>
    <mergeCell ref="C1:C2"/>
    <mergeCell ref="D1:D2"/>
    <mergeCell ref="E1:E2"/>
    <mergeCell ref="F1:F2"/>
    <mergeCell ref="W1:W2"/>
    <mergeCell ref="X1:X2"/>
    <mergeCell ref="Y1:Y2"/>
    <mergeCell ref="Z1:Z2"/>
    <mergeCell ref="AA1:AA2"/>
    <mergeCell ref="AB1:A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汇总</vt:lpstr>
      <vt:lpstr>龙旗</vt:lpstr>
      <vt:lpstr>华泾嘉华</vt:lpstr>
      <vt:lpstr>无锡XDG-2021-104号地块</vt:lpstr>
      <vt:lpstr>交子公园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L</cp:lastModifiedBy>
  <dcterms:created xsi:type="dcterms:W3CDTF">2010-06-01T02:58:00Z</dcterms:created>
  <cp:lastPrinted>2018-07-10T01:25:00Z</cp:lastPrinted>
  <dcterms:modified xsi:type="dcterms:W3CDTF">2026-05-13T06:20:48Z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5565A3192D704418B408CD90BC14B878_12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