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firstSheet="2" activeTab="6"/>
  </bookViews>
  <sheets>
    <sheet name="不锈钢水箱投标清单" sheetId="1" r:id="rId1"/>
    <sheet name="不锈钢水箱投标清单技术明细" sheetId="4" r:id="rId2"/>
    <sheet name="汇总" sheetId="9" r:id="rId3"/>
    <sheet name="港汇恒隆" sheetId="5" r:id="rId4"/>
    <sheet name="无锡XDG-2021-104地块" sheetId="6" r:id="rId5"/>
    <sheet name="交子公园" sheetId="7" r:id="rId6"/>
    <sheet name="金桥17B-06" sheetId="8" r:id="rId7"/>
  </sheets>
  <definedNames>
    <definedName name="_xlnm.Print_Area" localSheetId="0">不锈钢水箱投标清单!$A$1:$M$12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<sst xmlns="http://schemas.openxmlformats.org/spreadsheetml/2006/main" count="236" uniqueCount="100">
  <si>
    <t>XXX项目不锈钢水箱投标清单</t>
  </si>
  <si>
    <t>序号</t>
  </si>
  <si>
    <t>项目名称</t>
  </si>
  <si>
    <t>规格型号</t>
  </si>
  <si>
    <t>单位</t>
  </si>
  <si>
    <t>数量</t>
  </si>
  <si>
    <t>单价（元）
不含税</t>
  </si>
  <si>
    <t>金额（元）
不含税</t>
  </si>
  <si>
    <t>税率</t>
  </si>
  <si>
    <t>税额（元）</t>
  </si>
  <si>
    <t>价税合计（元）</t>
  </si>
  <si>
    <t>位置及用途</t>
  </si>
  <si>
    <t>品牌</t>
  </si>
  <si>
    <t>材质</t>
  </si>
  <si>
    <t>不锈钢水箱</t>
  </si>
  <si>
    <t>XXX</t>
  </si>
  <si>
    <t>台</t>
  </si>
  <si>
    <t>SUS316L</t>
  </si>
  <si>
    <t>SUS304</t>
  </si>
  <si>
    <t>含税合价（元）：</t>
  </si>
  <si>
    <r>
      <rPr>
        <sz val="11"/>
        <color theme="1"/>
        <rFont val="宋体"/>
        <charset val="134"/>
        <scheme val="minor"/>
      </rPr>
      <t>说明：
（1）水箱材质：食品级不锈钢,冲压组装，氩弧焊接成型。                                                                
（2）水箱含玻璃管液位计；检修孔、内外扶梯、含进出水口，溢流排污管；进出水管带单片</t>
    </r>
    <r>
      <rPr>
        <u/>
        <sz val="11"/>
        <color theme="1"/>
        <rFont val="宋体"/>
        <charset val="134"/>
        <scheme val="minor"/>
      </rPr>
      <t xml:space="preserve">    （</t>
    </r>
    <r>
      <rPr>
        <sz val="11"/>
        <color theme="1"/>
        <rFont val="宋体"/>
        <charset val="134"/>
        <scheme val="minor"/>
      </rPr>
      <t>法兰材质）法兰，水箱底座主槽钢10#镀锌槽钢。</t>
    </r>
  </si>
  <si>
    <t>XXX地块项目</t>
  </si>
  <si>
    <r>
      <rPr>
        <b/>
        <sz val="11"/>
        <rFont val="SimSun"/>
        <charset val="134"/>
      </rPr>
      <t>不锈钢生活水箱</t>
    </r>
  </si>
  <si>
    <r>
      <rPr>
        <sz val="11"/>
        <rFont val="SimSun"/>
        <charset val="134"/>
      </rPr>
      <t>序号 设备材料名称                        设计选用        议标单位选用     交货期</t>
    </r>
  </si>
  <si>
    <t>设备材料名称</t>
  </si>
  <si>
    <t>设计选用</t>
  </si>
  <si>
    <t>议标单位选用</t>
  </si>
  <si>
    <t>交货期</t>
  </si>
  <si>
    <t>编号/名称</t>
  </si>
  <si>
    <t>T5 不锈钢生活原水箱,分两格</t>
  </si>
  <si>
    <t>T5 不锈钢生活原水箱，分两格</t>
  </si>
  <si>
    <r>
      <rPr>
        <sz val="10"/>
        <rFont val="SimSun"/>
        <charset val="134"/>
      </rPr>
      <t>30天</t>
    </r>
  </si>
  <si>
    <t>用途</t>
  </si>
  <si>
    <t>T5 生活原水储存</t>
  </si>
  <si>
    <t>位置</t>
  </si>
  <si>
    <t>B2</t>
  </si>
  <si>
    <t>1 座，分为两格</t>
  </si>
  <si>
    <t>1座，分为两格</t>
  </si>
  <si>
    <t>类型</t>
  </si>
  <si>
    <t>装配式不锈钢水箱</t>
  </si>
  <si>
    <t>制造商／产地来源</t>
  </si>
  <si>
    <t>材质：</t>
  </si>
  <si>
    <t>SUS444</t>
  </si>
  <si>
    <t>有效总容积：(m³)</t>
  </si>
  <si>
    <t>总尺寸：长 x 阔 x 高(mm)</t>
  </si>
  <si>
    <r>
      <rPr>
        <sz val="11"/>
        <rFont val="Arial"/>
        <charset val="134"/>
      </rPr>
      <t>5000x4000x3000</t>
    </r>
  </si>
  <si>
    <r>
      <rPr>
        <sz val="10"/>
        <rFont val="SimSun"/>
        <charset val="134"/>
      </rPr>
      <t>5000x4000x3000</t>
    </r>
  </si>
  <si>
    <t>板材总面积：（平方米）</t>
  </si>
  <si>
    <t>板厚(mm)</t>
  </si>
  <si>
    <t>11.1    底板：</t>
  </si>
  <si>
    <r>
      <rPr>
        <sz val="12"/>
        <rFont val="SimSun"/>
        <charset val="134"/>
      </rPr>
      <t>2.0mm</t>
    </r>
  </si>
  <si>
    <t>11.2    顶板：</t>
  </si>
  <si>
    <r>
      <rPr>
        <sz val="12"/>
        <rFont val="SimSun"/>
        <charset val="134"/>
      </rPr>
      <t>1.5mm</t>
    </r>
  </si>
  <si>
    <t>11.3    侧板（从下至上）</t>
  </si>
  <si>
    <t>侧板 1：</t>
  </si>
  <si>
    <t>侧板 2：</t>
  </si>
  <si>
    <t>侧板 3：</t>
  </si>
  <si>
    <t>侧板 4：</t>
  </si>
  <si>
    <t>侧板 5：</t>
  </si>
  <si>
    <r>
      <rPr>
        <sz val="11"/>
        <rFont val="SimSun"/>
        <charset val="134"/>
      </rPr>
      <t>备注：</t>
    </r>
    <r>
      <rPr>
        <sz val="11"/>
        <color rgb="FFFF0000"/>
        <rFont val="SimSun"/>
        <charset val="134"/>
      </rPr>
      <t>需注明是否含保温（保温材质及厚度）、是否含外壳保护（保护层材质及厚度）</t>
    </r>
  </si>
  <si>
    <t xml:space="preserve">水箱数量、名称、位置及配套配置及技术规格说明书内相关要求。
</t>
  </si>
  <si>
    <t>备注</t>
  </si>
  <si>
    <t>不锈钢SUS316L，有效容积V=76M3，14*4*2（H）m分两格</t>
  </si>
  <si>
    <t>座</t>
  </si>
  <si>
    <t>B3层生活原水水箱</t>
  </si>
  <si>
    <t>浙江杭特</t>
  </si>
  <si>
    <t>（1）水箱材质：食品级不锈钢,冲压组装，氩弧焊接成型。                                                           
（2）水箱含玻璃管液位计；检修孔加盖加锁、通气管并加18目铜丝防虫网、内外扶梯、含进出水口，溢流排污管加铜丝防虫网；进出水管带单片碳钢热镀锌（法兰材质）法兰，水箱底座主槽钢10#镀锌槽钢。以上设备不含浮球阀，不含水位控制器及声光报警系统2025.11.24，
1、无预付款；
2、货到现场组装完成且验收合格之后二个月支付至到货金额的95%；
3、质保金5%保留两年</t>
  </si>
  <si>
    <t>不锈钢SUS316L，有效容积V=59.8M3，8*5.5*2（H）m分两格</t>
  </si>
  <si>
    <t>B3层生活净水箱</t>
  </si>
  <si>
    <t>污水集水箱</t>
  </si>
  <si>
    <t>不锈钢SUS304 有效容积V=24M3，4*4*2（H）m</t>
  </si>
  <si>
    <t>B3层</t>
  </si>
  <si>
    <t>SUS304L</t>
  </si>
  <si>
    <t>2025.11.24，
1、无预付款；
2、货到现场组装完成且验收合格之后二个月支付至到货金额的95%；
3、质保金5%保留两年</t>
  </si>
  <si>
    <t>低区银离子消毒器</t>
  </si>
  <si>
    <t>V=10M3，N=60W</t>
  </si>
  <si>
    <t>中区、高区银离子消毒器</t>
  </si>
  <si>
    <t>V=15M3，N=60W</t>
  </si>
  <si>
    <t>SUS304（9*2+18*5）*2m 120M3</t>
  </si>
  <si>
    <t>晔达</t>
  </si>
  <si>
    <t>2025.8.4，无预付款，货到现场验收合格2个月后支付送货金额70%，竣工验收付至80%，结算完成移交档案后付至95%，质保5%，两年</t>
  </si>
  <si>
    <t>SUS304（1*6+2.5*8）*3m 56M3</t>
  </si>
  <si>
    <t>SUS304 4*3*2m 24M3</t>
  </si>
  <si>
    <t>SUS304 23*7.5*3.5m 470M3</t>
  </si>
  <si>
    <r>
      <rPr>
        <sz val="10.5"/>
        <color rgb="FF000000"/>
        <rFont val="宋体"/>
        <charset val="134"/>
      </rPr>
      <t>L*B*</t>
    </r>
    <r>
      <rPr>
        <sz val="10.5"/>
        <color rgb="FF000000"/>
        <rFont val="宋体"/>
        <charset val="134"/>
      </rPr>
      <t>H</t>
    </r>
    <r>
      <rPr>
        <sz val="10.5"/>
        <color rgb="FF505050"/>
        <rFont val="宋体"/>
        <charset val="134"/>
      </rPr>
      <t>=5000*3000*200</t>
    </r>
    <r>
      <rPr>
        <sz val="10.5"/>
        <color rgb="FF505050"/>
        <rFont val="宋体"/>
        <charset val="134"/>
      </rPr>
      <t>0</t>
    </r>
  </si>
  <si>
    <t>商业304不锈钢生活水箱</t>
  </si>
  <si>
    <t>宏源</t>
  </si>
  <si>
    <t>含内外爬梯，玻璃管液位计、通气孔
、进出口、溢流、排污预留接口等图
纸一切要求；生活水箱内设置导流装
置。水箱底部厚度2.0mm、下层侧板厚
度2.0mm、上层侧板厚1.5mm,箱顶厚
度1.2mm，2025.1.20，（1）、无预付款；（2）、货到现场验收合格一个月内付至送货金额的 80%；（3）、工程竣工验收合格付至送货金额的 90%；（4）、甲方与业主结算完成移交档案资料且通过档案验收后付至结算金额的 97%；（5）、留结算金额3%质保金，质保二年，质保期自工程竣工验收合格之日起计算(质保金无息支付)。</t>
  </si>
  <si>
    <r>
      <rPr>
        <sz val="10.5"/>
        <color rgb="FF000000"/>
        <rFont val="宋体"/>
        <charset val="134"/>
      </rPr>
      <t>L*B*</t>
    </r>
    <r>
      <rPr>
        <sz val="10.5"/>
        <color rgb="FF000000"/>
        <rFont val="宋体"/>
        <charset val="134"/>
      </rPr>
      <t>H=6000*4000*200</t>
    </r>
    <r>
      <rPr>
        <sz val="10.5"/>
        <color rgb="FF000000"/>
        <rFont val="宋体"/>
        <charset val="134"/>
      </rPr>
      <t>0</t>
    </r>
  </si>
  <si>
    <r>
      <rPr>
        <sz val="10.5"/>
        <color rgb="FF000000"/>
        <rFont val="宋体"/>
        <charset val="134"/>
      </rPr>
      <t>办</t>
    </r>
    <r>
      <rPr>
        <sz val="10.5"/>
        <color rgb="FF000000"/>
        <rFont val="宋体"/>
        <charset val="134"/>
      </rPr>
      <t>公304不锈钢生活水</t>
    </r>
    <r>
      <rPr>
        <sz val="10.5"/>
        <color rgb="FF000000"/>
        <rFont val="宋体"/>
        <charset val="134"/>
      </rPr>
      <t>箱</t>
    </r>
  </si>
  <si>
    <r>
      <rPr>
        <sz val="10"/>
        <color theme="1"/>
        <rFont val="Arial"/>
        <charset val="134"/>
      </rPr>
      <t>8000*5000*2000</t>
    </r>
    <r>
      <rPr>
        <sz val="10"/>
        <color theme="1"/>
        <rFont val="宋体"/>
        <charset val="134"/>
      </rPr>
      <t>（</t>
    </r>
    <r>
      <rPr>
        <sz val="10"/>
        <color theme="1"/>
        <rFont val="Arial"/>
        <charset val="134"/>
      </rPr>
      <t>h)</t>
    </r>
  </si>
  <si>
    <t>材质：sus304 ；底板：2.0mm平板；侧板：2.0mm凹凸板 ；侧
板：1.5mm凹凸板；顶板：1.2mm凹凸板</t>
  </si>
  <si>
    <t>上海沪研金属制品有限公司</t>
  </si>
  <si>
    <t>2025.6.26；</t>
  </si>
  <si>
    <r>
      <rPr>
        <sz val="10"/>
        <color theme="1"/>
        <rFont val="Arial"/>
        <charset val="134"/>
      </rPr>
      <t>2000*1500*2000</t>
    </r>
    <r>
      <rPr>
        <sz val="10"/>
        <color theme="1"/>
        <rFont val="宋体"/>
        <charset val="134"/>
      </rPr>
      <t>（</t>
    </r>
    <r>
      <rPr>
        <sz val="10"/>
        <color theme="1"/>
        <rFont val="Arial"/>
        <charset val="134"/>
      </rPr>
      <t>h</t>
    </r>
    <r>
      <rPr>
        <sz val="10"/>
        <color theme="1"/>
        <rFont val="宋体"/>
        <charset val="134"/>
      </rPr>
      <t>）</t>
    </r>
  </si>
  <si>
    <t>材质：sus304 ；底板：1.5mm平板；侧板：1.5mm凹凸板 ；侧
板：1.5mm凹凸板；顶板：1.0mm凹凸板；外保护层：0.5mm不锈
钢板</t>
  </si>
  <si>
    <t>水箱臭氧消毒器</t>
  </si>
  <si>
    <r>
      <rPr>
        <sz val="10"/>
        <color theme="1"/>
        <rFont val="Arial"/>
        <charset val="134"/>
      </rPr>
      <t>WTS-2W(</t>
    </r>
    <r>
      <rPr>
        <sz val="10"/>
        <color theme="1"/>
        <rFont val="宋体"/>
        <charset val="134"/>
      </rPr>
      <t>外置式</t>
    </r>
    <r>
      <rPr>
        <sz val="10"/>
        <color theme="1"/>
        <rFont val="Arial"/>
        <charset val="134"/>
      </rPr>
      <t>)</t>
    </r>
  </si>
  <si>
    <r>
      <rPr>
        <sz val="10"/>
        <color theme="1"/>
        <rFont val="Arial"/>
        <charset val="134"/>
      </rPr>
      <t>N=653w</t>
    </r>
    <r>
      <rPr>
        <sz val="10"/>
        <color theme="1"/>
        <rFont val="宋体"/>
        <charset val="134"/>
      </rPr>
      <t>，</t>
    </r>
    <r>
      <rPr>
        <sz val="10"/>
        <color theme="1"/>
        <rFont val="Arial"/>
        <charset val="134"/>
      </rPr>
      <t>u=220v</t>
    </r>
  </si>
  <si>
    <t>石家庄睿汐环保科技有限公司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</si>
</sst>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Red]\(0.00\)"/>
    <numFmt numFmtId="178" formatCode="\ \ @"/>
    <numFmt numFmtId="179" formatCode="\ @"/>
  </numFmts>
  <fonts count="50">
    <font>
      <sz val="11"/>
      <color theme="1"/>
      <name val="宋体"/>
      <charset val="134"/>
      <scheme val="minor"/>
    </font>
    <font>
      <sz val="10"/>
      <color theme="1"/>
      <name val="宋体"/>
      <charset val="134"/>
      <scheme val="minor"/>
    </font>
    <font>
      <sz val="10"/>
      <color theme="1"/>
      <name val="宋体"/>
      <charset val="134"/>
    </font>
    <font>
      <sz val="10"/>
      <color theme="1"/>
      <name val="Arial"/>
      <charset val="134"/>
    </font>
    <font>
      <sz val="10"/>
      <color rgb="FF000000"/>
      <name val="仿宋"/>
      <charset val="134"/>
    </font>
    <font>
      <sz val="10.5"/>
      <color rgb="FF000000"/>
      <name val="宋体"/>
      <charset val="134"/>
    </font>
    <font>
      <sz val="11"/>
      <color rgb="FF000000"/>
      <name val="Arial"/>
      <charset val="204"/>
    </font>
    <font>
      <b/>
      <sz val="12"/>
      <name val="SimSun"/>
      <charset val="134"/>
    </font>
    <font>
      <b/>
      <sz val="11"/>
      <color rgb="FF000000"/>
      <name val="Arial"/>
      <charset val="134"/>
    </font>
    <font>
      <sz val="11"/>
      <color rgb="FF000000"/>
      <name val="Arial"/>
      <charset val="134"/>
    </font>
    <font>
      <sz val="11"/>
      <color rgb="FF000000"/>
      <name val="宋体"/>
      <charset val="134"/>
    </font>
    <font>
      <sz val="11"/>
      <name val="宋体"/>
      <charset val="134"/>
      <scheme val="minor"/>
    </font>
    <font>
      <sz val="11"/>
      <name val="宋体"/>
      <charset val="134"/>
    </font>
    <font>
      <sz val="10"/>
      <color rgb="FF000000"/>
      <name val="Arial"/>
      <charset val="134"/>
    </font>
    <font>
      <sz val="11"/>
      <color rgb="FF000000"/>
      <name val="宋体"/>
      <charset val="204"/>
    </font>
    <font>
      <sz val="11"/>
      <color rgb="FF000000"/>
      <name val="宋体"/>
      <charset val="204"/>
      <scheme val="minor"/>
    </font>
    <font>
      <sz val="11"/>
      <name val="SimSun"/>
      <charset val="134"/>
    </font>
    <font>
      <sz val="11"/>
      <color rgb="FF000000"/>
      <name val="宋体"/>
      <charset val="134"/>
      <scheme val="minor"/>
    </font>
    <font>
      <b/>
      <sz val="14"/>
      <color theme="1"/>
      <name val="宋体"/>
      <charset val="134"/>
      <scheme val="minor"/>
    </font>
    <font>
      <sz val="10"/>
      <name val="Arial"/>
      <charset val="134"/>
    </font>
    <font>
      <b/>
      <sz val="11"/>
      <name val="宋体"/>
      <charset val="134"/>
      <scheme val="minor"/>
    </font>
    <font>
      <b/>
      <sz val="12"/>
      <color theme="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2"/>
      <name val="SimSun"/>
      <charset val="134"/>
    </font>
    <font>
      <b/>
      <sz val="11"/>
      <name val="SimSun"/>
      <charset val="134"/>
    </font>
    <font>
      <sz val="10"/>
      <name val="SimSun"/>
      <charset val="134"/>
    </font>
    <font>
      <sz val="11"/>
      <color rgb="FFFF0000"/>
      <name val="SimSun"/>
      <charset val="134"/>
    </font>
    <font>
      <sz val="11"/>
      <name val="Arial"/>
      <charset val="134"/>
    </font>
    <font>
      <sz val="10.5"/>
      <color rgb="FF505050"/>
      <name val="宋体"/>
      <charset val="134"/>
    </font>
    <font>
      <u/>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2" borderId="6"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7" applyNumberFormat="0" applyFill="0" applyAlignment="0" applyProtection="0">
      <alignment vertical="center"/>
    </xf>
    <xf numFmtId="0" fontId="29" fillId="0" borderId="7" applyNumberFormat="0" applyFill="0" applyAlignment="0" applyProtection="0">
      <alignment vertical="center"/>
    </xf>
    <xf numFmtId="0" fontId="30" fillId="0" borderId="8" applyNumberFormat="0" applyFill="0" applyAlignment="0" applyProtection="0">
      <alignment vertical="center"/>
    </xf>
    <xf numFmtId="0" fontId="30" fillId="0" borderId="0" applyNumberFormat="0" applyFill="0" applyBorder="0" applyAlignment="0" applyProtection="0">
      <alignment vertical="center"/>
    </xf>
    <xf numFmtId="0" fontId="31" fillId="3" borderId="9" applyNumberFormat="0" applyAlignment="0" applyProtection="0">
      <alignment vertical="center"/>
    </xf>
    <xf numFmtId="0" fontId="32" fillId="4" borderId="10" applyNumberFormat="0" applyAlignment="0" applyProtection="0">
      <alignment vertical="center"/>
    </xf>
    <xf numFmtId="0" fontId="33" fillId="4" borderId="9" applyNumberFormat="0" applyAlignment="0" applyProtection="0">
      <alignment vertical="center"/>
    </xf>
    <xf numFmtId="0" fontId="34" fillId="5" borderId="11" applyNumberFormat="0" applyAlignment="0" applyProtection="0">
      <alignment vertical="center"/>
    </xf>
    <xf numFmtId="0" fontId="35" fillId="0" borderId="12" applyNumberFormat="0" applyFill="0" applyAlignment="0" applyProtection="0">
      <alignment vertical="center"/>
    </xf>
    <xf numFmtId="0" fontId="36" fillId="0" borderId="13" applyNumberFormat="0" applyFill="0" applyAlignment="0" applyProtection="0">
      <alignment vertical="center"/>
    </xf>
    <xf numFmtId="0" fontId="37" fillId="6" borderId="0" applyNumberFormat="0" applyBorder="0" applyAlignment="0" applyProtection="0">
      <alignment vertical="center"/>
    </xf>
    <xf numFmtId="0" fontId="38" fillId="7" borderId="0" applyNumberFormat="0" applyBorder="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2" fillId="0" borderId="0"/>
  </cellStyleXfs>
  <cellXfs count="67">
    <xf numFmtId="0" fontId="0" fillId="0" borderId="0" xfId="0">
      <alignment vertical="center"/>
    </xf>
    <xf numFmtId="0" fontId="1" fillId="0" borderId="0" xfId="0" applyFont="1">
      <alignment vertical="center"/>
    </xf>
    <xf numFmtId="0" fontId="1" fillId="0" borderId="1" xfId="0" applyFont="1" applyBorder="1" applyAlignment="1">
      <alignment horizontal="center" vertical="center" wrapText="1"/>
    </xf>
    <xf numFmtId="176" fontId="1" fillId="0" borderId="1" xfId="0" applyNumberFormat="1" applyFont="1" applyBorder="1" applyAlignment="1">
      <alignment horizontal="center" vertical="center" wrapText="1"/>
    </xf>
    <xf numFmtId="177" fontId="1"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76" fontId="1" fillId="0" borderId="1" xfId="0" applyNumberFormat="1" applyFont="1" applyBorder="1" applyAlignment="1">
      <alignment horizontal="center" vertical="center"/>
    </xf>
    <xf numFmtId="9" fontId="1"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vertical="center" wrapText="1"/>
    </xf>
    <xf numFmtId="0" fontId="0" fillId="0" borderId="1" xfId="0" applyBorder="1" applyAlignment="1">
      <alignment horizontal="center" vertical="center" wrapText="1"/>
    </xf>
    <xf numFmtId="176" fontId="0" fillId="0" borderId="1" xfId="0" applyNumberFormat="1" applyFont="1" applyBorder="1" applyAlignment="1">
      <alignment horizontal="center" vertical="center" wrapText="1"/>
    </xf>
    <xf numFmtId="177" fontId="0" fillId="0" borderId="1" xfId="0" applyNumberFormat="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xf>
    <xf numFmtId="176"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5" fillId="0" borderId="1" xfId="0" applyFont="1" applyBorder="1" applyAlignment="1">
      <alignment vertical="center" wrapText="1"/>
    </xf>
    <xf numFmtId="0" fontId="5" fillId="0" borderId="0" xfId="0" applyFont="1">
      <alignment vertical="center"/>
    </xf>
    <xf numFmtId="176" fontId="0" fillId="0" borderId="0" xfId="0" applyNumberFormat="1">
      <alignment vertical="center"/>
    </xf>
    <xf numFmtId="0" fontId="0" fillId="0" borderId="0" xfId="0" applyAlignment="1">
      <alignment horizontal="center" vertical="center"/>
    </xf>
    <xf numFmtId="9" fontId="0" fillId="0" borderId="1" xfId="0" applyNumberFormat="1" applyBorder="1" applyAlignment="1">
      <alignment horizontal="center" vertical="center" wrapText="1"/>
    </xf>
    <xf numFmtId="176" fontId="0" fillId="0" borderId="1" xfId="0" applyNumberFormat="1" applyBorder="1" applyAlignment="1">
      <alignment horizontal="center" vertical="center" wrapText="1"/>
    </xf>
    <xf numFmtId="0" fontId="0" fillId="0" borderId="0" xfId="0" applyAlignment="1">
      <alignment vertical="center" wrapText="1"/>
    </xf>
    <xf numFmtId="0" fontId="6" fillId="0" borderId="0" xfId="0" applyFont="1" applyFill="1" applyBorder="1" applyAlignment="1">
      <alignment horizontal="left" vertical="center" wrapText="1"/>
    </xf>
    <xf numFmtId="0" fontId="6" fillId="0" borderId="0" xfId="0" applyFont="1" applyFill="1" applyBorder="1" applyAlignment="1">
      <alignment horizontal="left" vertical="top" wrapText="1"/>
    </xf>
    <xf numFmtId="0" fontId="7" fillId="0" borderId="0" xfId="0" applyNumberFormat="1" applyFont="1" applyFill="1" applyBorder="1" applyAlignment="1">
      <alignment horizontal="center" vertical="top" wrapText="1"/>
    </xf>
    <xf numFmtId="0" fontId="6" fillId="0" borderId="0" xfId="0" applyFont="1" applyFill="1" applyBorder="1" applyAlignment="1">
      <alignment horizontal="center" vertical="top" wrapText="1"/>
    </xf>
    <xf numFmtId="0" fontId="8" fillId="0" borderId="0" xfId="0" applyNumberFormat="1" applyFont="1" applyFill="1" applyBorder="1" applyAlignment="1">
      <alignment horizontal="left" vertical="center" wrapText="1"/>
    </xf>
    <xf numFmtId="0" fontId="9"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2" xfId="0" applyNumberFormat="1" applyFont="1" applyFill="1" applyBorder="1" applyAlignment="1">
      <alignment horizontal="center" vertical="center" wrapText="1"/>
    </xf>
    <xf numFmtId="0" fontId="9" fillId="0" borderId="3" xfId="0" applyNumberFormat="1" applyFont="1" applyFill="1" applyBorder="1" applyAlignment="1">
      <alignment horizontal="center" vertical="center" wrapText="1"/>
    </xf>
    <xf numFmtId="0" fontId="9" fillId="0" borderId="4" xfId="0" applyNumberFormat="1" applyFont="1" applyFill="1" applyBorder="1" applyAlignment="1">
      <alignment horizontal="center" vertical="center" wrapText="1"/>
    </xf>
    <xf numFmtId="0" fontId="11" fillId="0" borderId="1" xfId="0" applyNumberFormat="1" applyFont="1" applyFill="1" applyBorder="1" applyAlignment="1">
      <alignment horizontal="left" vertical="center" wrapText="1"/>
    </xf>
    <xf numFmtId="0" fontId="12" fillId="0" borderId="2"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178" fontId="13" fillId="0" borderId="1" xfId="0" applyNumberFormat="1" applyFont="1" applyFill="1" applyBorder="1" applyAlignment="1">
      <alignment horizontal="left" vertical="top" wrapText="1"/>
    </xf>
    <xf numFmtId="179" fontId="12" fillId="0" borderId="1" xfId="0" applyNumberFormat="1" applyFont="1" applyFill="1" applyBorder="1" applyAlignment="1">
      <alignment horizontal="left" vertical="center" wrapText="1" indent="5"/>
    </xf>
    <xf numFmtId="0" fontId="14" fillId="0" borderId="1" xfId="0" applyNumberFormat="1" applyFont="1" applyFill="1" applyBorder="1" applyAlignment="1">
      <alignment horizontal="left" vertical="center" wrapText="1"/>
    </xf>
    <xf numFmtId="0" fontId="15" fillId="0" borderId="1" xfId="0" applyNumberFormat="1" applyFont="1" applyFill="1" applyBorder="1" applyAlignment="1">
      <alignment horizontal="left" vertical="center" wrapText="1"/>
    </xf>
    <xf numFmtId="0" fontId="16" fillId="0" borderId="1" xfId="0" applyNumberFormat="1" applyFont="1" applyFill="1" applyBorder="1" applyAlignment="1">
      <alignment horizontal="left" vertical="center" wrapText="1"/>
    </xf>
    <xf numFmtId="0" fontId="17" fillId="0" borderId="1" xfId="0" applyNumberFormat="1" applyFont="1" applyFill="1" applyBorder="1" applyAlignment="1">
      <alignment horizontal="left" vertical="center" wrapText="1"/>
    </xf>
    <xf numFmtId="179" fontId="9" fillId="0" borderId="1" xfId="0" applyNumberFormat="1" applyFont="1" applyFill="1" applyBorder="1" applyAlignment="1">
      <alignment horizontal="left" vertical="center" wrapText="1" indent="5"/>
    </xf>
    <xf numFmtId="0" fontId="6"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vertical="center" wrapText="1"/>
    </xf>
    <xf numFmtId="0" fontId="6" fillId="0" borderId="1" xfId="0" applyFont="1" applyFill="1" applyBorder="1" applyAlignment="1">
      <alignment horizontal="left" vertical="center" wrapText="1"/>
    </xf>
    <xf numFmtId="0" fontId="0" fillId="0" borderId="0" xfId="0" applyAlignment="1">
      <alignment horizontal="center" vertical="center" wrapText="1"/>
    </xf>
    <xf numFmtId="0" fontId="0" fillId="0" borderId="0" xfId="0" applyFont="1" applyFill="1" applyBorder="1" applyAlignment="1">
      <alignment vertical="center"/>
    </xf>
    <xf numFmtId="176" fontId="0" fillId="0" borderId="0" xfId="0" applyNumberFormat="1" applyAlignment="1">
      <alignment horizontal="center" vertical="center"/>
    </xf>
    <xf numFmtId="177" fontId="0" fillId="0" borderId="0" xfId="0" applyNumberFormat="1" applyAlignment="1">
      <alignment horizontal="center" vertical="center"/>
    </xf>
    <xf numFmtId="0" fontId="18" fillId="0" borderId="1" xfId="0" applyFont="1" applyBorder="1" applyAlignment="1">
      <alignment horizontal="center" vertical="center"/>
    </xf>
    <xf numFmtId="177" fontId="0" fillId="0" borderId="1" xfId="0" applyNumberFormat="1" applyBorder="1" applyAlignment="1">
      <alignment horizontal="center" vertical="center"/>
    </xf>
    <xf numFmtId="0" fontId="0" fillId="0" borderId="1" xfId="0" applyFont="1" applyBorder="1" applyAlignment="1">
      <alignment horizontal="center" vertical="center"/>
    </xf>
    <xf numFmtId="9" fontId="19" fillId="0" borderId="1" xfId="3" applyNumberFormat="1" applyFont="1" applyFill="1" applyBorder="1" applyAlignment="1">
      <alignment horizontal="center" vertical="center"/>
    </xf>
    <xf numFmtId="0" fontId="20" fillId="0" borderId="1" xfId="49" applyFont="1" applyFill="1" applyBorder="1" applyAlignment="1">
      <alignment vertical="center" wrapText="1"/>
    </xf>
    <xf numFmtId="0" fontId="21" fillId="0" borderId="1" xfId="0" applyFont="1" applyFill="1" applyBorder="1" applyAlignment="1">
      <alignment horizontal="right" vertical="center" wrapText="1"/>
    </xf>
    <xf numFmtId="177" fontId="19" fillId="0" borderId="1" xfId="0" applyNumberFormat="1" applyFont="1" applyFill="1" applyBorder="1" applyAlignment="1">
      <alignment horizontal="center" vertical="center"/>
    </xf>
    <xf numFmtId="2" fontId="19" fillId="0" borderId="1" xfId="0" applyNumberFormat="1" applyFont="1" applyFill="1" applyBorder="1" applyAlignment="1">
      <alignment horizontal="center" vertical="center"/>
    </xf>
    <xf numFmtId="0" fontId="0" fillId="0" borderId="1" xfId="0" applyFont="1" applyFill="1" applyBorder="1" applyAlignment="1">
      <alignment vertical="center"/>
    </xf>
    <xf numFmtId="0" fontId="22" fillId="0" borderId="0" xfId="0" applyFont="1" applyFill="1" applyBorder="1" applyAlignment="1">
      <alignment vertical="center"/>
    </xf>
    <xf numFmtId="0" fontId="0" fillId="0" borderId="5" xfId="0" applyFont="1" applyBorder="1" applyAlignment="1">
      <alignment horizontal="left" vertical="center" wrapText="1"/>
    </xf>
    <xf numFmtId="0" fontId="0" fillId="0" borderId="5" xfId="0" applyFont="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15875</xdr:colOff>
      <xdr:row>23</xdr:row>
      <xdr:rowOff>535940</xdr:rowOff>
    </xdr:from>
    <xdr:ext cx="5800090" cy="21590"/>
    <xdr:sp>
      <xdr:nvSpPr>
        <xdr:cNvPr id="2" name="path"/>
        <xdr:cNvSpPr txBox="1"/>
      </xdr:nvSpPr>
      <xdr:spPr>
        <a:xfrm>
          <a:off x="15875" y="6702425"/>
          <a:ext cx="5800090" cy="21590"/>
        </a:xfrm>
        <a:custGeom>
          <a:avLst/>
          <a:gdLst/>
          <a:ahLst/>
          <a:cxnLst/>
          <a:rect l="0" t="0" r="0" b="0"/>
          <a:pathLst>
            <a:path w="9133" h="33">
              <a:moveTo>
                <a:pt x="0" y="11"/>
              </a:moveTo>
              <a:lnTo>
                <a:pt x="9133" y="11"/>
              </a:lnTo>
              <a:lnTo>
                <a:pt x="9133" y="0"/>
              </a:lnTo>
              <a:lnTo>
                <a:pt x="0" y="0"/>
              </a:lnTo>
              <a:lnTo>
                <a:pt x="0" y="11"/>
              </a:lnTo>
              <a:close/>
            </a:path>
            <a:path w="9133" h="33">
              <a:moveTo>
                <a:pt x="0" y="33"/>
              </a:moveTo>
              <a:lnTo>
                <a:pt x="9133" y="33"/>
              </a:lnTo>
              <a:lnTo>
                <a:pt x="9133" y="22"/>
              </a:lnTo>
              <a:lnTo>
                <a:pt x="0" y="22"/>
              </a:lnTo>
              <a:lnTo>
                <a:pt x="0" y="33"/>
              </a:lnTo>
              <a:close/>
            </a:path>
          </a:pathLst>
        </a:custGeom>
        <a:solidFill>
          <a:srgbClr val="000000">
            <a:alpha val="100000"/>
          </a:srgbClr>
        </a:solidFill>
        <a:ln cap="flat">
          <a:noFill/>
          <a:prstDash val="solid"/>
        </a:ln>
      </xdr:spPr>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S12"/>
  <sheetViews>
    <sheetView view="pageBreakPreview" zoomScale="70" zoomScaleNormal="100" workbookViewId="0">
      <selection activeCell="S8" sqref="S8"/>
    </sheetView>
  </sheetViews>
  <sheetFormatPr defaultColWidth="9" defaultRowHeight="14"/>
  <cols>
    <col min="1" max="1" width="4.5" style="23" customWidth="1"/>
    <col min="2" max="2" width="11" style="23" customWidth="1"/>
    <col min="3" max="3" width="22.3636363636364" style="23" customWidth="1"/>
    <col min="4" max="4" width="9.11818181818182" style="23" customWidth="1"/>
    <col min="5" max="5" width="9" style="23"/>
    <col min="6" max="7" width="10.8818181818182" style="53" customWidth="1"/>
    <col min="8" max="8" width="5.11818181818182" style="23" customWidth="1"/>
    <col min="9" max="9" width="10.8818181818182" style="54" customWidth="1"/>
    <col min="10" max="10" width="15" style="54" customWidth="1"/>
    <col min="11" max="11" width="12.5" style="23" customWidth="1"/>
    <col min="12" max="16384" width="9" style="23"/>
  </cols>
  <sheetData>
    <row r="1" ht="27" customHeight="1" spans="1:253">
      <c r="A1" s="55" t="s">
        <v>0</v>
      </c>
      <c r="B1" s="55"/>
      <c r="C1" s="55"/>
      <c r="D1" s="55"/>
      <c r="E1" s="55"/>
      <c r="F1" s="55"/>
      <c r="G1" s="55"/>
      <c r="H1" s="55"/>
      <c r="I1" s="55"/>
      <c r="J1" s="55"/>
      <c r="K1" s="55"/>
      <c r="L1" s="55"/>
      <c r="M1" s="55"/>
    </row>
    <row r="2" ht="27" customHeight="1" spans="1:253">
      <c r="A2" s="16" t="s">
        <v>1</v>
      </c>
      <c r="B2" s="16" t="s">
        <v>2</v>
      </c>
      <c r="C2" s="16" t="s">
        <v>3</v>
      </c>
      <c r="D2" s="16" t="s">
        <v>4</v>
      </c>
      <c r="E2" s="16" t="s">
        <v>5</v>
      </c>
      <c r="F2" s="13" t="s">
        <v>6</v>
      </c>
      <c r="G2" s="13" t="s">
        <v>7</v>
      </c>
      <c r="H2" s="16" t="s">
        <v>8</v>
      </c>
      <c r="I2" s="56" t="s">
        <v>9</v>
      </c>
      <c r="J2" s="56" t="s">
        <v>10</v>
      </c>
      <c r="K2" s="16" t="s">
        <v>11</v>
      </c>
      <c r="L2" s="57" t="s">
        <v>12</v>
      </c>
      <c r="M2" s="57" t="s">
        <v>13</v>
      </c>
    </row>
    <row r="3" s="51" customFormat="1" ht="35.1" customHeight="1" spans="1:253">
      <c r="A3" s="12">
        <v>1</v>
      </c>
      <c r="B3" s="12" t="s">
        <v>14</v>
      </c>
      <c r="C3" s="2" t="s">
        <v>15</v>
      </c>
      <c r="D3" s="12" t="s">
        <v>16</v>
      </c>
      <c r="E3" s="12">
        <v>1</v>
      </c>
      <c r="F3" s="25"/>
      <c r="G3" s="25">
        <f>F3*E3</f>
        <v>0</v>
      </c>
      <c r="H3" s="58">
        <v>0.13</v>
      </c>
      <c r="I3" s="14">
        <f>G3*H3</f>
        <v>0</v>
      </c>
      <c r="J3" s="14">
        <f>I3+G3</f>
        <v>0</v>
      </c>
      <c r="K3" s="12" t="s">
        <v>15</v>
      </c>
      <c r="L3" s="12" t="s">
        <v>15</v>
      </c>
      <c r="M3" s="59" t="s">
        <v>17</v>
      </c>
    </row>
    <row r="4" ht="35.1" customHeight="1" spans="1:253">
      <c r="A4" s="12">
        <v>2</v>
      </c>
      <c r="B4" s="12" t="s">
        <v>14</v>
      </c>
      <c r="C4" s="2" t="s">
        <v>15</v>
      </c>
      <c r="D4" s="12" t="s">
        <v>16</v>
      </c>
      <c r="E4" s="12">
        <v>1</v>
      </c>
      <c r="F4" s="25"/>
      <c r="G4" s="25">
        <f>F4*E4</f>
        <v>0</v>
      </c>
      <c r="H4" s="58">
        <v>0.13</v>
      </c>
      <c r="I4" s="14">
        <f>G4*H4</f>
        <v>0</v>
      </c>
      <c r="J4" s="14">
        <f>I4+G4</f>
        <v>0</v>
      </c>
      <c r="K4" s="12" t="s">
        <v>15</v>
      </c>
      <c r="L4" s="12" t="s">
        <v>15</v>
      </c>
      <c r="M4" s="59" t="s">
        <v>18</v>
      </c>
    </row>
    <row r="5" ht="35.1" customHeight="1" spans="1:253">
      <c r="A5" s="12">
        <v>3</v>
      </c>
      <c r="B5" s="12"/>
      <c r="C5" s="2"/>
      <c r="D5" s="12"/>
      <c r="E5" s="12"/>
      <c r="F5" s="25"/>
      <c r="G5" s="25">
        <f t="shared" ref="G5:G10" si="0">F5*E5</f>
        <v>0</v>
      </c>
      <c r="H5" s="58">
        <v>0.13</v>
      </c>
      <c r="I5" s="14">
        <f t="shared" ref="I5:I10" si="1">G5*H5</f>
        <v>0</v>
      </c>
      <c r="J5" s="14">
        <f t="shared" ref="J5:J10" si="2">I5+G5</f>
        <v>0</v>
      </c>
      <c r="K5" s="12"/>
      <c r="L5" s="16"/>
      <c r="M5" s="59"/>
    </row>
    <row r="6" ht="35.1" customHeight="1" spans="1:253">
      <c r="A6" s="12">
        <v>4</v>
      </c>
      <c r="B6" s="12"/>
      <c r="C6" s="2"/>
      <c r="D6" s="12"/>
      <c r="E6" s="12"/>
      <c r="F6" s="25"/>
      <c r="G6" s="25">
        <f t="shared" si="0"/>
        <v>0</v>
      </c>
      <c r="H6" s="58">
        <v>0.13</v>
      </c>
      <c r="I6" s="14">
        <f t="shared" si="1"/>
        <v>0</v>
      </c>
      <c r="J6" s="14">
        <f t="shared" si="2"/>
        <v>0</v>
      </c>
      <c r="K6" s="12"/>
      <c r="L6" s="16"/>
      <c r="M6" s="59"/>
    </row>
    <row r="7" ht="35.1" customHeight="1" spans="1:253">
      <c r="A7" s="12">
        <v>5</v>
      </c>
      <c r="B7" s="12"/>
      <c r="C7" s="2"/>
      <c r="D7" s="12"/>
      <c r="E7" s="12"/>
      <c r="F7" s="25"/>
      <c r="G7" s="25">
        <f t="shared" si="0"/>
        <v>0</v>
      </c>
      <c r="H7" s="58">
        <v>0.13</v>
      </c>
      <c r="I7" s="14">
        <f t="shared" si="1"/>
        <v>0</v>
      </c>
      <c r="J7" s="14">
        <f t="shared" si="2"/>
        <v>0</v>
      </c>
      <c r="K7" s="12"/>
      <c r="L7" s="16"/>
      <c r="M7" s="59"/>
    </row>
    <row r="8" ht="35.1" customHeight="1" spans="1:253">
      <c r="A8" s="12">
        <v>6</v>
      </c>
      <c r="B8" s="12"/>
      <c r="C8" s="2"/>
      <c r="D8" s="12"/>
      <c r="E8" s="12"/>
      <c r="F8" s="25"/>
      <c r="G8" s="25">
        <f t="shared" si="0"/>
        <v>0</v>
      </c>
      <c r="H8" s="58">
        <v>0.13</v>
      </c>
      <c r="I8" s="14">
        <f t="shared" si="1"/>
        <v>0</v>
      </c>
      <c r="J8" s="14">
        <f t="shared" si="2"/>
        <v>0</v>
      </c>
      <c r="K8" s="12"/>
      <c r="L8" s="16"/>
      <c r="M8" s="59"/>
    </row>
    <row r="9" ht="35.1" customHeight="1" spans="1:253">
      <c r="A9" s="12">
        <v>7</v>
      </c>
      <c r="B9" s="12"/>
      <c r="C9" s="2"/>
      <c r="D9" s="12"/>
      <c r="E9" s="12"/>
      <c r="F9" s="25"/>
      <c r="G9" s="25">
        <f t="shared" si="0"/>
        <v>0</v>
      </c>
      <c r="H9" s="58">
        <v>0.13</v>
      </c>
      <c r="I9" s="14">
        <f t="shared" si="1"/>
        <v>0</v>
      </c>
      <c r="J9" s="14">
        <f t="shared" si="2"/>
        <v>0</v>
      </c>
      <c r="K9" s="12"/>
      <c r="L9" s="16"/>
      <c r="M9" s="59"/>
    </row>
    <row r="10" ht="35.1" customHeight="1" spans="1:253">
      <c r="A10" s="12">
        <v>8</v>
      </c>
      <c r="B10" s="12"/>
      <c r="C10" s="2"/>
      <c r="D10" s="12"/>
      <c r="E10" s="12"/>
      <c r="F10" s="25"/>
      <c r="G10" s="25">
        <f t="shared" si="0"/>
        <v>0</v>
      </c>
      <c r="H10" s="58">
        <v>0.13</v>
      </c>
      <c r="I10" s="14">
        <f t="shared" si="1"/>
        <v>0</v>
      </c>
      <c r="J10" s="14">
        <f t="shared" si="2"/>
        <v>0</v>
      </c>
      <c r="K10" s="12"/>
      <c r="L10" s="16"/>
      <c r="M10" s="16"/>
    </row>
    <row r="11" s="52" customFormat="1" ht="17.1" customHeight="1" spans="1:253">
      <c r="A11" s="60" t="s">
        <v>19</v>
      </c>
      <c r="B11" s="60"/>
      <c r="C11" s="60"/>
      <c r="D11" s="60"/>
      <c r="E11" s="60"/>
      <c r="F11" s="60"/>
      <c r="G11" s="60"/>
      <c r="H11" s="60"/>
      <c r="I11" s="60"/>
      <c r="J11" s="61">
        <f>SUM(J3:J10)</f>
        <v>0</v>
      </c>
      <c r="K11" s="62"/>
      <c r="L11" s="63"/>
      <c r="M11" s="63"/>
      <c r="IQ11" s="64"/>
      <c r="IR11" s="64"/>
      <c r="IS11" s="64"/>
    </row>
    <row r="12" ht="66.75" customHeight="1" spans="1:253">
      <c r="A12" s="65" t="s">
        <v>20</v>
      </c>
      <c r="B12" s="66"/>
      <c r="C12" s="66"/>
      <c r="D12" s="66"/>
      <c r="E12" s="66"/>
      <c r="F12" s="66"/>
      <c r="G12" s="66"/>
      <c r="H12" s="66"/>
      <c r="I12" s="66"/>
      <c r="J12" s="66"/>
      <c r="K12" s="66"/>
      <c r="L12" s="66"/>
      <c r="M12" s="66"/>
    </row>
  </sheetData>
  <mergeCells count="3">
    <mergeCell ref="A1:M1"/>
    <mergeCell ref="A11:I11"/>
    <mergeCell ref="A12:M12"/>
  </mergeCells>
  <pageMargins left="0.7" right="0.7" top="0.75" bottom="0.75" header="0.3" footer="0.3"/>
  <pageSetup paperSize="9" scale="96"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70" zoomScaleNormal="70" workbookViewId="0">
      <selection activeCell="C14" sqref="C14:F14"/>
    </sheetView>
  </sheetViews>
  <sheetFormatPr defaultColWidth="10.9181818181818" defaultRowHeight="14" outlineLevelCol="7"/>
  <cols>
    <col min="1" max="1" width="6.05454545454545" style="28" customWidth="1"/>
    <col min="2" max="2" width="24.3" style="28" customWidth="1"/>
    <col min="3" max="3" width="9.19090909090909" style="28" customWidth="1"/>
    <col min="4" max="4" width="18" style="28" customWidth="1"/>
    <col min="5" max="5" width="8.25454545454545" style="28" customWidth="1"/>
    <col min="6" max="6" width="2.42727272727273" style="28" customWidth="1"/>
    <col min="7" max="7" width="24.9272727272727" style="28" customWidth="1"/>
    <col min="8" max="8" width="15.2" style="28" customWidth="1"/>
    <col min="9" max="16384" width="10.9181818181818" style="28"/>
  </cols>
  <sheetData>
    <row r="1" ht="18.75" customHeight="1" spans="1:8">
      <c r="A1" s="29" t="s">
        <v>21</v>
      </c>
      <c r="B1" s="30"/>
      <c r="C1" s="30"/>
      <c r="D1" s="30"/>
      <c r="E1" s="30"/>
      <c r="F1" s="30"/>
      <c r="G1" s="30"/>
      <c r="H1" s="30"/>
    </row>
    <row r="2" ht="13.5" customHeight="1" spans="1:8">
      <c r="A2" s="31" t="s">
        <v>22</v>
      </c>
      <c r="B2" s="31"/>
      <c r="C2" s="31"/>
      <c r="D2" s="31"/>
      <c r="E2" s="31"/>
      <c r="F2" s="31"/>
      <c r="G2" s="31"/>
      <c r="H2" s="31"/>
    </row>
    <row r="3" ht="13.5" customHeight="1" spans="1:8">
      <c r="A3" s="32" t="s">
        <v>23</v>
      </c>
      <c r="B3" s="33" t="s">
        <v>24</v>
      </c>
      <c r="C3" s="34" t="s">
        <v>25</v>
      </c>
      <c r="D3" s="35"/>
      <c r="E3" s="35"/>
      <c r="F3" s="36"/>
      <c r="G3" s="33" t="s">
        <v>26</v>
      </c>
      <c r="H3" s="33" t="s">
        <v>27</v>
      </c>
    </row>
    <row r="4" ht="30" customHeight="1" spans="1:8">
      <c r="A4" s="32">
        <v>1</v>
      </c>
      <c r="B4" s="37" t="s">
        <v>28</v>
      </c>
      <c r="C4" s="38" t="s">
        <v>29</v>
      </c>
      <c r="D4" s="39"/>
      <c r="E4" s="39"/>
      <c r="F4" s="40"/>
      <c r="G4" s="37" t="s">
        <v>30</v>
      </c>
      <c r="H4" s="41" t="s">
        <v>31</v>
      </c>
    </row>
    <row r="5" ht="23.3" customHeight="1" spans="1:8">
      <c r="A5" s="32">
        <v>2</v>
      </c>
      <c r="B5" s="37" t="s">
        <v>32</v>
      </c>
      <c r="C5" s="42" t="s">
        <v>33</v>
      </c>
      <c r="D5" s="43"/>
      <c r="E5" s="43"/>
      <c r="F5" s="43"/>
      <c r="G5" s="37" t="s">
        <v>33</v>
      </c>
      <c r="H5" s="44"/>
    </row>
    <row r="6" ht="23.05" customHeight="1" spans="1:8">
      <c r="A6" s="32">
        <v>3</v>
      </c>
      <c r="B6" s="37" t="s">
        <v>34</v>
      </c>
      <c r="C6" s="42" t="s">
        <v>35</v>
      </c>
      <c r="D6" s="43"/>
      <c r="E6" s="43"/>
      <c r="F6" s="43"/>
      <c r="G6" s="45" t="s">
        <v>35</v>
      </c>
      <c r="H6" s="44"/>
    </row>
    <row r="7" ht="23.3" customHeight="1" spans="1:8">
      <c r="A7" s="32">
        <v>4</v>
      </c>
      <c r="B7" s="37" t="s">
        <v>5</v>
      </c>
      <c r="C7" s="42" t="s">
        <v>36</v>
      </c>
      <c r="D7" s="43"/>
      <c r="E7" s="43"/>
      <c r="F7" s="43"/>
      <c r="G7" s="45" t="s">
        <v>37</v>
      </c>
      <c r="H7" s="44"/>
    </row>
    <row r="8" ht="23.5" customHeight="1" spans="1:8">
      <c r="A8" s="32">
        <v>5</v>
      </c>
      <c r="B8" s="37" t="s">
        <v>38</v>
      </c>
      <c r="C8" s="42" t="s">
        <v>39</v>
      </c>
      <c r="D8" s="43"/>
      <c r="E8" s="43"/>
      <c r="F8" s="43"/>
      <c r="G8" s="45" t="s">
        <v>39</v>
      </c>
      <c r="H8" s="44"/>
    </row>
    <row r="9" ht="16.5" customHeight="1" spans="1:8">
      <c r="A9" s="32">
        <v>6</v>
      </c>
      <c r="B9" s="46" t="s">
        <v>40</v>
      </c>
      <c r="C9" s="42"/>
      <c r="D9" s="43"/>
      <c r="E9" s="43"/>
      <c r="F9" s="43"/>
      <c r="G9" s="37" t="s">
        <v>15</v>
      </c>
      <c r="H9" s="44"/>
    </row>
    <row r="10" ht="23.5" customHeight="1" spans="1:8">
      <c r="A10" s="32">
        <v>7</v>
      </c>
      <c r="B10" s="37" t="s">
        <v>41</v>
      </c>
      <c r="C10" s="42" t="s">
        <v>42</v>
      </c>
      <c r="D10" s="43"/>
      <c r="E10" s="43"/>
      <c r="F10" s="43"/>
      <c r="G10" s="37" t="s">
        <v>17</v>
      </c>
      <c r="H10" s="44"/>
    </row>
    <row r="11" ht="23.3" customHeight="1" spans="1:8">
      <c r="A11" s="32">
        <v>8</v>
      </c>
      <c r="B11" s="37" t="s">
        <v>43</v>
      </c>
      <c r="C11" s="47"/>
      <c r="D11" s="48">
        <v>40</v>
      </c>
      <c r="E11" s="48"/>
      <c r="F11" s="48">
        <v>40</v>
      </c>
      <c r="G11" s="49"/>
      <c r="H11" s="48"/>
    </row>
    <row r="12" ht="28" spans="1:8">
      <c r="A12" s="32">
        <v>9</v>
      </c>
      <c r="B12" s="37" t="s">
        <v>44</v>
      </c>
      <c r="C12" s="47"/>
      <c r="D12" s="48" t="s">
        <v>45</v>
      </c>
      <c r="E12" s="48"/>
      <c r="F12" s="48" t="s">
        <v>46</v>
      </c>
      <c r="G12" s="49"/>
      <c r="H12" s="48"/>
    </row>
    <row r="13" spans="1:8">
      <c r="A13" s="32">
        <v>10</v>
      </c>
      <c r="B13" s="37" t="s">
        <v>47</v>
      </c>
      <c r="C13" s="47"/>
      <c r="D13" s="48"/>
      <c r="E13" s="48"/>
      <c r="F13" s="48"/>
      <c r="G13" s="47"/>
      <c r="H13" s="48"/>
    </row>
    <row r="14" ht="23.3" customHeight="1" spans="1:8">
      <c r="A14" s="32">
        <v>11</v>
      </c>
      <c r="B14" s="37" t="s">
        <v>48</v>
      </c>
      <c r="C14" s="47"/>
      <c r="D14" s="48"/>
      <c r="E14" s="48"/>
      <c r="F14" s="48"/>
      <c r="G14" s="49"/>
      <c r="H14" s="48"/>
    </row>
    <row r="15" ht="22" customHeight="1" spans="1:8">
      <c r="A15" s="32"/>
      <c r="B15" s="37" t="s">
        <v>49</v>
      </c>
      <c r="C15" s="47"/>
      <c r="D15" s="48"/>
      <c r="E15" s="48"/>
      <c r="F15" s="48" t="s">
        <v>50</v>
      </c>
      <c r="G15" s="49"/>
      <c r="H15" s="48"/>
    </row>
    <row r="16" ht="22" customHeight="1" spans="1:8">
      <c r="A16" s="32"/>
      <c r="B16" s="37" t="s">
        <v>51</v>
      </c>
      <c r="C16" s="47"/>
      <c r="D16" s="48"/>
      <c r="E16" s="48"/>
      <c r="F16" s="48" t="s">
        <v>52</v>
      </c>
      <c r="G16" s="49"/>
      <c r="H16" s="48"/>
    </row>
    <row r="17" ht="22" customHeight="1" spans="1:8">
      <c r="A17" s="32"/>
      <c r="B17" s="37" t="s">
        <v>53</v>
      </c>
      <c r="C17" s="47"/>
      <c r="D17" s="48"/>
      <c r="E17" s="48"/>
      <c r="F17" s="48"/>
      <c r="G17" s="49"/>
      <c r="H17" s="48"/>
    </row>
    <row r="18" ht="23.3" customHeight="1" spans="1:8">
      <c r="A18" s="32"/>
      <c r="B18" s="37" t="s">
        <v>54</v>
      </c>
      <c r="C18" s="47"/>
      <c r="D18" s="48"/>
      <c r="E18" s="48"/>
      <c r="F18" s="48" t="s">
        <v>50</v>
      </c>
      <c r="G18" s="49"/>
      <c r="H18" s="48"/>
    </row>
    <row r="19" ht="23.05" customHeight="1" spans="1:8">
      <c r="A19" s="32"/>
      <c r="B19" s="37" t="s">
        <v>55</v>
      </c>
      <c r="C19" s="47"/>
      <c r="D19" s="48"/>
      <c r="E19" s="48"/>
      <c r="F19" s="48" t="s">
        <v>52</v>
      </c>
      <c r="G19" s="49"/>
      <c r="H19" s="48"/>
    </row>
    <row r="20" ht="23.3" customHeight="1" spans="1:8">
      <c r="A20" s="32"/>
      <c r="B20" s="37" t="s">
        <v>56</v>
      </c>
      <c r="C20" s="47"/>
      <c r="D20" s="48"/>
      <c r="E20" s="48"/>
      <c r="F20" s="48" t="s">
        <v>52</v>
      </c>
      <c r="G20" s="49"/>
      <c r="H20" s="48"/>
    </row>
    <row r="21" ht="23.3" customHeight="1" spans="1:8">
      <c r="A21" s="32"/>
      <c r="B21" s="37" t="s">
        <v>57</v>
      </c>
      <c r="C21" s="47"/>
      <c r="D21" s="48"/>
      <c r="E21" s="48"/>
      <c r="F21" s="48"/>
      <c r="G21" s="49"/>
      <c r="H21" s="48"/>
    </row>
    <row r="22" ht="23.3" customHeight="1" spans="1:8">
      <c r="A22" s="32"/>
      <c r="B22" s="37" t="s">
        <v>58</v>
      </c>
      <c r="C22" s="47"/>
      <c r="D22" s="48"/>
      <c r="E22" s="48"/>
      <c r="F22" s="48"/>
      <c r="G22" s="49"/>
      <c r="H22" s="48"/>
    </row>
    <row r="23" s="27" customFormat="1" ht="24" customHeight="1" spans="1:8">
      <c r="A23" s="45" t="s">
        <v>59</v>
      </c>
      <c r="B23" s="50"/>
      <c r="C23" s="50"/>
      <c r="D23" s="50"/>
      <c r="E23" s="50"/>
      <c r="F23" s="50"/>
      <c r="G23" s="50"/>
      <c r="H23" s="50"/>
    </row>
    <row r="24" s="27" customFormat="1" ht="24" customHeight="1" spans="1:8">
      <c r="A24" s="45" t="s">
        <v>60</v>
      </c>
      <c r="B24" s="50"/>
      <c r="C24" s="50"/>
      <c r="D24" s="50"/>
      <c r="E24" s="50"/>
      <c r="F24" s="50"/>
      <c r="G24" s="50"/>
      <c r="H24" s="50"/>
    </row>
  </sheetData>
  <mergeCells count="42">
    <mergeCell ref="A1:H1"/>
    <mergeCell ref="A2:H2"/>
    <mergeCell ref="C3:F3"/>
    <mergeCell ref="C4:F4"/>
    <mergeCell ref="C5:F5"/>
    <mergeCell ref="G5:H5"/>
    <mergeCell ref="C6:F6"/>
    <mergeCell ref="G6:H6"/>
    <mergeCell ref="C7:F7"/>
    <mergeCell ref="G7:H7"/>
    <mergeCell ref="C8:F8"/>
    <mergeCell ref="G8:H8"/>
    <mergeCell ref="C9:F9"/>
    <mergeCell ref="G9:H9"/>
    <mergeCell ref="C10:F10"/>
    <mergeCell ref="G10:H10"/>
    <mergeCell ref="C11:F11"/>
    <mergeCell ref="G11:H11"/>
    <mergeCell ref="C12:F12"/>
    <mergeCell ref="G12:H12"/>
    <mergeCell ref="C13:F13"/>
    <mergeCell ref="G13:H13"/>
    <mergeCell ref="C14:F14"/>
    <mergeCell ref="G14:H14"/>
    <mergeCell ref="C15:F15"/>
    <mergeCell ref="G15:H15"/>
    <mergeCell ref="C16:F16"/>
    <mergeCell ref="G16:H16"/>
    <mergeCell ref="C17:F17"/>
    <mergeCell ref="G17:H17"/>
    <mergeCell ref="C18:F18"/>
    <mergeCell ref="G18:H18"/>
    <mergeCell ref="C19:F19"/>
    <mergeCell ref="G19:H19"/>
    <mergeCell ref="C20:F20"/>
    <mergeCell ref="G20:H20"/>
    <mergeCell ref="C21:F21"/>
    <mergeCell ref="G21:H21"/>
    <mergeCell ref="C22:F22"/>
    <mergeCell ref="G22:H22"/>
    <mergeCell ref="A23:H23"/>
    <mergeCell ref="A24:H24"/>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
  <sheetViews>
    <sheetView zoomScale="70" zoomScaleNormal="70" workbookViewId="0">
      <selection activeCell="C2" sqref="C2"/>
    </sheetView>
  </sheetViews>
  <sheetFormatPr defaultColWidth="8.72727272727273" defaultRowHeight="14"/>
  <cols>
    <col min="1" max="1" width="4.63636363636364" customWidth="1"/>
    <col min="2" max="2" width="25.2727272727273" customWidth="1"/>
    <col min="3" max="3" width="24.4545454545455" style="26" customWidth="1"/>
    <col min="4" max="5" width="4.63636363636364" customWidth="1"/>
    <col min="6" max="7" width="12.8181818181818" customWidth="1"/>
    <col min="8" max="8" width="5.54545454545455" customWidth="1"/>
    <col min="9" max="10" width="12.8181818181818" customWidth="1"/>
    <col min="11" max="11" width="33.5454545454545" style="26" customWidth="1"/>
    <col min="12" max="12" width="29.8181818181818" customWidth="1"/>
    <col min="13" max="13" width="8.54545454545454" customWidth="1"/>
    <col min="14" max="14" width="60.6363636363636" style="26" customWidth="1"/>
  </cols>
  <sheetData>
    <row r="1" ht="28" spans="1:14">
      <c r="A1" s="12" t="s">
        <v>1</v>
      </c>
      <c r="B1" s="12" t="s">
        <v>2</v>
      </c>
      <c r="C1" s="12" t="s">
        <v>3</v>
      </c>
      <c r="D1" s="12" t="s">
        <v>4</v>
      </c>
      <c r="E1" s="12" t="s">
        <v>5</v>
      </c>
      <c r="F1" s="13" t="s">
        <v>6</v>
      </c>
      <c r="G1" s="13" t="s">
        <v>7</v>
      </c>
      <c r="H1" s="12" t="s">
        <v>8</v>
      </c>
      <c r="I1" s="14" t="s">
        <v>9</v>
      </c>
      <c r="J1" s="14" t="s">
        <v>10</v>
      </c>
      <c r="K1" s="12" t="s">
        <v>11</v>
      </c>
      <c r="L1" s="15" t="s">
        <v>12</v>
      </c>
      <c r="M1" s="15" t="s">
        <v>13</v>
      </c>
      <c r="N1" s="12" t="s">
        <v>61</v>
      </c>
    </row>
    <row r="2" ht="126" spans="1:14">
      <c r="A2" s="16" cm="1">
        <f t="array" ref="A2:N15">_xlfn._xlws.FILTER(_xlfn.VSTACK('港汇恒隆:金桥17B-06'!A2:N200),_xlfn.VSTACK('港汇恒隆:金桥17B-06'!A2:A200)&lt;&gt;0)</f>
        <v>1</v>
      </c>
      <c r="B2" s="16" t="str">
        <v>不锈钢水箱</v>
      </c>
      <c r="C2" s="12" t="str">
        <v>不锈钢SUS316L，有效容积V=76M3，14*4*2（H）m分两格</v>
      </c>
      <c r="D2" s="16" t="str">
        <v>座</v>
      </c>
      <c r="E2" s="16">
        <v>1</v>
      </c>
      <c r="F2" s="16">
        <v>140442.48</v>
      </c>
      <c r="G2" s="16">
        <v>140442.48</v>
      </c>
      <c r="H2" s="16">
        <v>0.13</v>
      </c>
      <c r="I2" s="16">
        <v>18257.5224</v>
      </c>
      <c r="J2" s="16">
        <v>158700.0024</v>
      </c>
      <c r="K2" s="12" t="str">
        <v>B3层生活原水水箱</v>
      </c>
      <c r="L2" s="16" t="str">
        <v>浙江杭特</v>
      </c>
      <c r="M2" s="16" t="str">
        <v>SUS316L</v>
      </c>
      <c r="N2" s="12" t="str">
        <v>（1）水箱材质：食品级不锈钢,冲压组装，氩弧焊接成型。                                                           
（2）水箱含玻璃管液位计；检修孔加盖加锁、通气管并加18目铜丝防虫网、内外扶梯、含进出水口，溢流排污管加铜丝防虫网；进出水管带单片碳钢热镀锌（法兰材质）法兰，水箱底座主槽钢10#镀锌槽钢。以上设备不含浮球阀，不含水位控制器及声光报警系统2025.11.24，
1、无预付款；
2、货到现场组装完成且验收合格之后二个月支付至到货金额的95%；
3、质保金5%保留两年</v>
      </c>
    </row>
    <row r="3" ht="126" spans="1:14">
      <c r="A3" s="16">
        <v>2</v>
      </c>
      <c r="B3" s="16" t="str">
        <v>不锈钢水箱</v>
      </c>
      <c r="C3" s="12" t="str">
        <v>不锈钢SUS316L，有效容积V=59.8M3，8*5.5*2（H）m分两格</v>
      </c>
      <c r="D3" s="16" t="str">
        <v>座</v>
      </c>
      <c r="E3" s="16">
        <v>1</v>
      </c>
      <c r="F3" s="16">
        <v>113008.85</v>
      </c>
      <c r="G3" s="16">
        <v>113008.85</v>
      </c>
      <c r="H3" s="16">
        <v>0.13</v>
      </c>
      <c r="I3" s="16">
        <v>14691.1505</v>
      </c>
      <c r="J3" s="16">
        <v>127700.0005</v>
      </c>
      <c r="K3" s="12" t="str">
        <v>B3层生活净水箱</v>
      </c>
      <c r="L3" s="16" t="str">
        <v>浙江杭特</v>
      </c>
      <c r="M3" s="16" t="str">
        <v>SUS316L</v>
      </c>
      <c r="N3" s="12" t="str">
        <v>（1）水箱材质：食品级不锈钢,冲压组装，氩弧焊接成型。                                                           
（2）水箱含玻璃管液位计；检修孔加盖加锁、通气管并加18目铜丝防虫网、内外扶梯、含进出水口，溢流排污管加铜丝防虫网；进出水管带单片碳钢热镀锌（法兰材质）法兰，水箱底座主槽钢10#镀锌槽钢。以上设备不含浮球阀，不含水位控制器及声光报警系统2025.11.24，
1、无预付款；
2、货到现场组装完成且验收合格之后二个月支付至到货金额的95%；
3、质保金5%保留两年</v>
      </c>
    </row>
    <row r="4" ht="56" spans="1:14">
      <c r="A4" s="16">
        <v>3</v>
      </c>
      <c r="B4" s="16" t="str">
        <v>污水集水箱</v>
      </c>
      <c r="C4" s="12" t="str">
        <v>不锈钢SUS304 有效容积V=24M3，4*4*2（H）m</v>
      </c>
      <c r="D4" s="16" t="str">
        <v>座</v>
      </c>
      <c r="E4" s="16">
        <v>1</v>
      </c>
      <c r="F4" s="16">
        <v>30796.46</v>
      </c>
      <c r="G4" s="16">
        <v>30796.46</v>
      </c>
      <c r="H4" s="16">
        <v>0.13</v>
      </c>
      <c r="I4" s="16">
        <v>4003.5398</v>
      </c>
      <c r="J4" s="16">
        <v>34799.9998</v>
      </c>
      <c r="K4" s="12" t="str">
        <v>B3层</v>
      </c>
      <c r="L4" s="16" t="str">
        <v>浙江杭特</v>
      </c>
      <c r="M4" s="16" t="str">
        <v>SUS304L</v>
      </c>
      <c r="N4" s="12" t="str">
        <v>2025.11.24，
1、无预付款；
2、货到现场组装完成且验收合格之后二个月支付至到货金额的95%；
3、质保金5%保留两年</v>
      </c>
    </row>
    <row r="5" ht="56" spans="1:14">
      <c r="A5" s="16">
        <v>4</v>
      </c>
      <c r="B5" s="16" t="str">
        <v>低区银离子消毒器</v>
      </c>
      <c r="C5" s="12" t="str">
        <v>V=10M3，N=60W</v>
      </c>
      <c r="D5" s="16" t="str">
        <v>台</v>
      </c>
      <c r="E5" s="16">
        <v>1</v>
      </c>
      <c r="F5" s="16">
        <v>11327.43</v>
      </c>
      <c r="G5" s="16">
        <v>11327.43</v>
      </c>
      <c r="H5" s="16">
        <v>0.13</v>
      </c>
      <c r="I5" s="16">
        <v>1472.5659</v>
      </c>
      <c r="J5" s="16">
        <v>12799.9959</v>
      </c>
      <c r="K5" s="12" t="str">
        <v>B3层</v>
      </c>
      <c r="L5" s="16" t="str">
        <v>浙江杭特</v>
      </c>
      <c r="M5" s="16" t="str">
        <v>SUS316L</v>
      </c>
      <c r="N5" s="12" t="str">
        <v>2025.11.24，
1、无预付款；
2、货到现场组装完成且验收合格之后二个月支付至到货金额的95%；
3、质保金5%保留两年</v>
      </c>
    </row>
    <row r="6" ht="56" spans="1:14">
      <c r="A6" s="16">
        <v>5</v>
      </c>
      <c r="B6" s="16" t="str">
        <v>中区、高区银离子消毒器</v>
      </c>
      <c r="C6" s="12" t="str">
        <v>V=15M3，N=60W</v>
      </c>
      <c r="D6" s="16" t="str">
        <v>台</v>
      </c>
      <c r="E6" s="16">
        <v>2</v>
      </c>
      <c r="F6" s="16">
        <v>10619.47</v>
      </c>
      <c r="G6" s="16">
        <v>21238.94</v>
      </c>
      <c r="H6" s="16">
        <v>0.13</v>
      </c>
      <c r="I6" s="16">
        <v>2761.0622</v>
      </c>
      <c r="J6" s="16">
        <v>24000.0022</v>
      </c>
      <c r="K6" s="12" t="str">
        <v>B3层</v>
      </c>
      <c r="L6" s="16" t="str">
        <v>浙江杭特</v>
      </c>
      <c r="M6" s="16" t="str">
        <v>SUS316L</v>
      </c>
      <c r="N6" s="12" t="str">
        <v>2025.11.24，
1、无预付款；
2、货到现场组装完成且验收合格之后二个月支付至到货金额的95%；
3、质保金5%保留两年</v>
      </c>
    </row>
    <row r="7" ht="28" spans="1:14">
      <c r="A7" s="16">
        <v>1</v>
      </c>
      <c r="B7" s="16" t="str">
        <v>不锈钢水箱</v>
      </c>
      <c r="C7" s="12" t="str">
        <v>SUS304（9*2+18*5）*2m 120M3</v>
      </c>
      <c r="D7" s="16" t="str">
        <v>座</v>
      </c>
      <c r="E7" s="16">
        <v>1</v>
      </c>
      <c r="F7" s="16">
        <v>104336.28</v>
      </c>
      <c r="G7" s="16">
        <v>104336.28</v>
      </c>
      <c r="H7" s="16">
        <v>0.13</v>
      </c>
      <c r="I7" s="16">
        <v>13563.7164</v>
      </c>
      <c r="J7" s="16">
        <v>117899.9964</v>
      </c>
      <c r="K7" s="12">
        <v>0</v>
      </c>
      <c r="L7" s="16" t="str">
        <v>晔达</v>
      </c>
      <c r="M7" s="16" t="str">
        <v>SUS304</v>
      </c>
      <c r="N7" s="12" t="str">
        <v>2025.8.4，无预付款，货到现场验收合格2个月后支付送货金额70%，竣工验收付至80%，结算完成移交档案后付至95%，质保5%，两年</v>
      </c>
    </row>
    <row r="8" ht="28" spans="1:14">
      <c r="A8" s="16">
        <v>2</v>
      </c>
      <c r="B8" s="16" t="str">
        <v>不锈钢水箱</v>
      </c>
      <c r="C8" s="12" t="str">
        <v>SUS304（1*6+2.5*8）*3m 56M3</v>
      </c>
      <c r="D8" s="16" t="str">
        <v>座</v>
      </c>
      <c r="E8" s="16">
        <v>1</v>
      </c>
      <c r="F8" s="16">
        <v>41415.93</v>
      </c>
      <c r="G8" s="16">
        <v>41415.93</v>
      </c>
      <c r="H8" s="16">
        <v>0.13</v>
      </c>
      <c r="I8" s="16">
        <v>5384.0709</v>
      </c>
      <c r="J8" s="16">
        <v>46800.0009</v>
      </c>
      <c r="K8" s="12">
        <v>0</v>
      </c>
      <c r="L8" s="16" t="str">
        <v>晔达</v>
      </c>
      <c r="M8" s="16" t="str">
        <v>SUS304</v>
      </c>
      <c r="N8" s="12" t="str">
        <v>2025.8.4，无预付款，货到现场验收合格2个月后支付送货金额70%，竣工验收付至80%，结算完成移交档案后付至95%，质保5%，两年</v>
      </c>
    </row>
    <row r="9" ht="28" spans="1:14">
      <c r="A9" s="16">
        <v>3</v>
      </c>
      <c r="B9" s="16" t="str">
        <v>不锈钢水箱</v>
      </c>
      <c r="C9" s="12" t="str">
        <v>SUS304 4*3*2m 24M3</v>
      </c>
      <c r="D9" s="16" t="str">
        <v>座</v>
      </c>
      <c r="E9" s="16">
        <v>1</v>
      </c>
      <c r="F9" s="16">
        <v>20619.47</v>
      </c>
      <c r="G9" s="16">
        <v>20619.47</v>
      </c>
      <c r="H9" s="16">
        <v>0.13</v>
      </c>
      <c r="I9" s="16">
        <v>2680.5311</v>
      </c>
      <c r="J9" s="16">
        <v>23300.0011</v>
      </c>
      <c r="K9" s="12">
        <v>0</v>
      </c>
      <c r="L9" s="16" t="str">
        <v>晔达</v>
      </c>
      <c r="M9" s="16" t="str">
        <v>SUS304</v>
      </c>
      <c r="N9" s="12" t="str">
        <v>2025.8.4，无预付款，货到现场验收合格2个月后支付送货金额70%，竣工验收付至80%，结算完成移交档案后付至95%，质保5%，两年</v>
      </c>
    </row>
    <row r="10" ht="28" spans="1:14">
      <c r="A10" s="16">
        <v>4</v>
      </c>
      <c r="B10" s="16" t="str">
        <v>不锈钢水箱</v>
      </c>
      <c r="C10" s="12" t="str">
        <v>SUS304 23*7.5*3.5m 470M3</v>
      </c>
      <c r="D10" s="16" t="str">
        <v>座</v>
      </c>
      <c r="E10" s="16">
        <v>1</v>
      </c>
      <c r="F10" s="16">
        <v>231858.41</v>
      </c>
      <c r="G10" s="16">
        <v>231858.41</v>
      </c>
      <c r="H10" s="16">
        <v>0.13</v>
      </c>
      <c r="I10" s="16">
        <v>30141.5933</v>
      </c>
      <c r="J10" s="16">
        <v>262000.0033</v>
      </c>
      <c r="K10" s="12">
        <v>0</v>
      </c>
      <c r="L10" s="16" t="str">
        <v>晔达</v>
      </c>
      <c r="M10" s="16" t="str">
        <v>SUS304</v>
      </c>
      <c r="N10" s="12" t="str">
        <v>2025.8.4，无预付款，货到现场验收合格2个月后支付送货金额70%，竣工验收付至80%，结算完成移交档案后付至95%，质保5%，两年</v>
      </c>
    </row>
    <row r="11" ht="140" spans="1:14">
      <c r="A11" s="16">
        <v>1</v>
      </c>
      <c r="B11" s="16" t="str">
        <v>不锈钢水箱</v>
      </c>
      <c r="C11" s="12" t="str">
        <v>L*B*H=5000*3000*2000</v>
      </c>
      <c r="D11" s="16" t="str">
        <v>座</v>
      </c>
      <c r="E11" s="16">
        <v>2</v>
      </c>
      <c r="F11" s="16">
        <v>24849.5575221239</v>
      </c>
      <c r="G11" s="16">
        <v>49699.1150442478</v>
      </c>
      <c r="H11" s="16">
        <v>0.13</v>
      </c>
      <c r="I11" s="16">
        <v>6460.88495575221</v>
      </c>
      <c r="J11" s="16">
        <v>56160</v>
      </c>
      <c r="K11" s="12" t="str">
        <v>商业304不锈钢生活水箱</v>
      </c>
      <c r="L11" s="16" t="str">
        <v>宏源</v>
      </c>
      <c r="M11" s="16">
        <v>304</v>
      </c>
      <c r="N11" s="12" t="str">
        <v>含内外爬梯，玻璃管液位计、通气孔
、进出口、溢流、排污预留接口等图
纸一切要求；生活水箱内设置导流装
置。水箱底部厚度2.0mm、下层侧板厚
度2.0mm、上层侧板厚1.5mm,箱顶厚
度1.2mm，2025.1.20，（1）、无预付款；（2）、货到现场验收合格一个月内付至送货金额的 80%；（3）、工程竣工验收合格付至送货金额的 90%；（4）、甲方与业主结算完成移交档案资料且通过档案验收后付至结算金额的 97%；（5）、留结算金额3%质保金，质保二年，质保期自工程竣工验收合格之日起计算(质保金无息支付)。</v>
      </c>
    </row>
    <row r="12" ht="140" spans="1:14">
      <c r="A12" s="16">
        <v>2</v>
      </c>
      <c r="B12" s="16" t="str">
        <v>不锈钢水箱</v>
      </c>
      <c r="C12" s="12" t="str">
        <v>L*B*H=6000*4000*2000</v>
      </c>
      <c r="D12" s="16" t="str">
        <v>座</v>
      </c>
      <c r="E12" s="16">
        <v>2</v>
      </c>
      <c r="F12" s="16">
        <v>37592.9203539823</v>
      </c>
      <c r="G12" s="16">
        <v>75185.8407079646</v>
      </c>
      <c r="H12" s="16">
        <v>0.13</v>
      </c>
      <c r="I12" s="16">
        <v>9774.1592920354</v>
      </c>
      <c r="J12" s="16">
        <v>84960</v>
      </c>
      <c r="K12" s="12" t="str">
        <v>办公304不锈钢生活水箱</v>
      </c>
      <c r="L12" s="16" t="str">
        <v>宏源</v>
      </c>
      <c r="M12" s="16">
        <v>304</v>
      </c>
      <c r="N12" s="12" t="str">
        <v>含内外爬梯，玻璃管液位计、通气孔
、进出口、溢流、排污预留接口等图
纸一切要求；生活水箱内设置导流装
置。水箱底部厚度2.0mm、下层侧板厚
度2.0mm、上层侧板厚1.5mm,箱顶厚
度1.2mm，2025.1.20，（1）、无预付款；（2）、货到现场验收合格一个月内付至送货金额的 80%；（3）、工程竣工验收合格付至送货金额的 90%；（4）、甲方与业主结算完成移交档案资料且通过档案验收后付至结算金额的 97%；（5）、留结算金额3%质保金，质保二年，质保期自工程竣工验收合格之日起计算(质保金无息支付)。</v>
      </c>
    </row>
    <row r="13" ht="56" spans="1:14">
      <c r="A13" s="16">
        <v>1</v>
      </c>
      <c r="B13" s="16" t="str">
        <v>不锈钢水箱</v>
      </c>
      <c r="C13" s="12" t="str">
        <v>8000*5000*2000（h)</v>
      </c>
      <c r="D13" s="16" t="str">
        <v>台</v>
      </c>
      <c r="E13" s="16">
        <v>1</v>
      </c>
      <c r="F13" s="16">
        <v>88318.5840707965</v>
      </c>
      <c r="G13" s="16">
        <v>88318.5840707965</v>
      </c>
      <c r="H13" s="16">
        <v>0.13</v>
      </c>
      <c r="I13" s="16">
        <v>11481.4159292035</v>
      </c>
      <c r="J13" s="16">
        <v>99800</v>
      </c>
      <c r="K13" s="12" t="str">
        <v>材质：sus304 ；底板：2.0mm平板；侧板：2.0mm凹凸板 ；侧
板：1.5mm凹凸板；顶板：1.2mm凹凸板</v>
      </c>
      <c r="L13" s="16" t="str">
        <v>上海沪研金属制品有限公司</v>
      </c>
      <c r="M13" s="16">
        <v>304</v>
      </c>
      <c r="N13" s="12" t="str">
        <v>2025.6.26；</v>
      </c>
    </row>
    <row r="14" ht="70" spans="1:14">
      <c r="A14" s="16">
        <v>2</v>
      </c>
      <c r="B14" s="16" t="str">
        <v>不锈钢水箱</v>
      </c>
      <c r="C14" s="12" t="str">
        <v>2000*1500*2000（h）</v>
      </c>
      <c r="D14" s="16" t="str">
        <v>台</v>
      </c>
      <c r="E14" s="16">
        <v>1</v>
      </c>
      <c r="F14" s="16">
        <v>17256.6371681416</v>
      </c>
      <c r="G14" s="16">
        <v>17256.6371681416</v>
      </c>
      <c r="H14" s="16">
        <v>0.13</v>
      </c>
      <c r="I14" s="16">
        <v>2243.36283185841</v>
      </c>
      <c r="J14" s="16">
        <v>19500</v>
      </c>
      <c r="K14" s="12" t="str">
        <v>材质：sus304 ；底板：1.5mm平板；侧板：1.5mm凹凸板 ；侧
板：1.5mm凹凸板；顶板：1.0mm凹凸板；外保护层：0.5mm不锈
钢板</v>
      </c>
      <c r="L14" s="16" t="str">
        <v>上海沪研金属制品有限公司</v>
      </c>
      <c r="M14" s="16">
        <v>304</v>
      </c>
      <c r="N14" s="12" t="str">
        <v>2025.6.26；</v>
      </c>
    </row>
    <row r="15" spans="1:14">
      <c r="A15" s="16">
        <v>3</v>
      </c>
      <c r="B15" s="16" t="str">
        <v>水箱臭氧消毒器</v>
      </c>
      <c r="C15" s="12" t="str">
        <v>WTS-2W(外置式)</v>
      </c>
      <c r="D15" s="16" t="str">
        <v>台</v>
      </c>
      <c r="E15" s="16">
        <v>1</v>
      </c>
      <c r="F15" s="16">
        <v>5044.24778761062</v>
      </c>
      <c r="G15" s="16">
        <v>5044.24778761062</v>
      </c>
      <c r="H15" s="16">
        <v>0.13</v>
      </c>
      <c r="I15" s="16">
        <v>655.752212389381</v>
      </c>
      <c r="J15" s="16">
        <v>5700</v>
      </c>
      <c r="K15" s="12" t="str">
        <v>N=653w，u=220v</v>
      </c>
      <c r="L15" s="16" t="str">
        <v>石家庄睿汐环保科技有限公司</v>
      </c>
      <c r="M15" s="16">
        <v>0</v>
      </c>
      <c r="N15" s="12" t="str">
        <v>2025.6.26；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zoomScale="70" zoomScaleNormal="70" workbookViewId="0">
      <selection activeCell="A1" sqref="A1:N1"/>
    </sheetView>
  </sheetViews>
  <sheetFormatPr defaultColWidth="8.72727272727273" defaultRowHeight="39" customHeight="1" outlineLevelRow="6"/>
  <cols>
    <col min="2" max="2" width="16.9" customWidth="1"/>
    <col min="3" max="3" width="32.3636363636364" customWidth="1"/>
    <col min="6" max="7" width="10.5454545454545"/>
    <col min="9" max="9" width="11.8181818181818"/>
    <col min="10" max="10" width="12.9090909090909"/>
    <col min="14" max="14" width="27.8181818181818" customWidth="1"/>
  </cols>
  <sheetData>
    <row r="1" customHeight="1" spans="1:14">
      <c r="A1" s="12" t="s">
        <v>1</v>
      </c>
      <c r="B1" s="12" t="s">
        <v>2</v>
      </c>
      <c r="C1" s="12" t="s">
        <v>3</v>
      </c>
      <c r="D1" s="12" t="s">
        <v>4</v>
      </c>
      <c r="E1" s="12" t="s">
        <v>5</v>
      </c>
      <c r="F1" s="13" t="s">
        <v>6</v>
      </c>
      <c r="G1" s="13" t="s">
        <v>7</v>
      </c>
      <c r="H1" s="12" t="s">
        <v>8</v>
      </c>
      <c r="I1" s="14" t="s">
        <v>9</v>
      </c>
      <c r="J1" s="14" t="s">
        <v>10</v>
      </c>
      <c r="K1" s="12" t="s">
        <v>11</v>
      </c>
      <c r="L1" s="15" t="s">
        <v>12</v>
      </c>
      <c r="M1" s="15" t="s">
        <v>13</v>
      </c>
      <c r="N1" s="16" t="s">
        <v>61</v>
      </c>
    </row>
    <row r="2" ht="114" customHeight="1" spans="1:14">
      <c r="A2" s="12">
        <v>1</v>
      </c>
      <c r="B2" s="12" t="s">
        <v>14</v>
      </c>
      <c r="C2" s="12" t="s">
        <v>62</v>
      </c>
      <c r="D2" s="12" t="s">
        <v>63</v>
      </c>
      <c r="E2" s="12">
        <v>1</v>
      </c>
      <c r="F2" s="12">
        <v>140442.48</v>
      </c>
      <c r="G2" s="12">
        <v>140442.48</v>
      </c>
      <c r="H2" s="24">
        <v>0.13</v>
      </c>
      <c r="I2" s="25">
        <f t="shared" ref="I2:I6" si="0">H2*G2</f>
        <v>18257.5224</v>
      </c>
      <c r="J2" s="25">
        <f t="shared" ref="J2:J6" si="1">I2+G2</f>
        <v>158700.0024</v>
      </c>
      <c r="K2" s="12" t="s">
        <v>64</v>
      </c>
      <c r="L2" s="12" t="s">
        <v>65</v>
      </c>
      <c r="M2" s="12" t="s">
        <v>17</v>
      </c>
      <c r="N2" s="12" t="s">
        <v>66</v>
      </c>
    </row>
    <row r="3" customHeight="1" spans="1:14">
      <c r="A3" s="12">
        <v>2</v>
      </c>
      <c r="B3" s="12" t="s">
        <v>14</v>
      </c>
      <c r="C3" s="12" t="s">
        <v>67</v>
      </c>
      <c r="D3" s="12" t="s">
        <v>63</v>
      </c>
      <c r="E3" s="12">
        <v>1</v>
      </c>
      <c r="F3" s="12">
        <v>113008.85</v>
      </c>
      <c r="G3" s="12">
        <v>113008.85</v>
      </c>
      <c r="H3" s="24">
        <v>0.13</v>
      </c>
      <c r="I3" s="25">
        <f t="shared" si="0"/>
        <v>14691.1505</v>
      </c>
      <c r="J3" s="25">
        <f t="shared" si="1"/>
        <v>127700.0005</v>
      </c>
      <c r="K3" s="12" t="s">
        <v>68</v>
      </c>
      <c r="L3" s="12" t="s">
        <v>65</v>
      </c>
      <c r="M3" s="12" t="s">
        <v>17</v>
      </c>
      <c r="N3" s="12" t="s">
        <v>66</v>
      </c>
    </row>
    <row r="4" customHeight="1" spans="1:14">
      <c r="A4" s="12">
        <v>3</v>
      </c>
      <c r="B4" s="12" t="s">
        <v>69</v>
      </c>
      <c r="C4" s="12" t="s">
        <v>70</v>
      </c>
      <c r="D4" s="12" t="s">
        <v>63</v>
      </c>
      <c r="E4" s="12">
        <v>1</v>
      </c>
      <c r="F4" s="12">
        <v>30796.46</v>
      </c>
      <c r="G4" s="12">
        <v>30796.46</v>
      </c>
      <c r="H4" s="24">
        <v>0.13</v>
      </c>
      <c r="I4" s="25">
        <f t="shared" si="0"/>
        <v>4003.5398</v>
      </c>
      <c r="J4" s="25">
        <f t="shared" si="1"/>
        <v>34799.9998</v>
      </c>
      <c r="K4" s="12" t="s">
        <v>71</v>
      </c>
      <c r="L4" s="12" t="s">
        <v>65</v>
      </c>
      <c r="M4" s="12" t="s">
        <v>72</v>
      </c>
      <c r="N4" s="12" t="s">
        <v>73</v>
      </c>
    </row>
    <row r="5" customHeight="1" spans="1:14">
      <c r="A5" s="12">
        <v>4</v>
      </c>
      <c r="B5" s="12" t="s">
        <v>74</v>
      </c>
      <c r="C5" s="12" t="s">
        <v>75</v>
      </c>
      <c r="D5" s="12" t="s">
        <v>16</v>
      </c>
      <c r="E5" s="12">
        <v>1</v>
      </c>
      <c r="F5" s="12">
        <v>11327.43</v>
      </c>
      <c r="G5" s="12">
        <v>11327.43</v>
      </c>
      <c r="H5" s="24">
        <v>0.13</v>
      </c>
      <c r="I5" s="25">
        <f t="shared" si="0"/>
        <v>1472.5659</v>
      </c>
      <c r="J5" s="25">
        <f t="shared" si="1"/>
        <v>12799.9959</v>
      </c>
      <c r="K5" s="12" t="s">
        <v>71</v>
      </c>
      <c r="L5" s="12" t="s">
        <v>65</v>
      </c>
      <c r="M5" s="12" t="s">
        <v>17</v>
      </c>
      <c r="N5" s="12" t="s">
        <v>73</v>
      </c>
    </row>
    <row r="6" customHeight="1" spans="1:14">
      <c r="A6" s="12">
        <v>5</v>
      </c>
      <c r="B6" s="12" t="s">
        <v>76</v>
      </c>
      <c r="C6" s="12" t="s">
        <v>77</v>
      </c>
      <c r="D6" s="12" t="s">
        <v>16</v>
      </c>
      <c r="E6" s="12">
        <v>2</v>
      </c>
      <c r="F6" s="12">
        <v>10619.47</v>
      </c>
      <c r="G6" s="12">
        <f>F6*E6</f>
        <v>21238.94</v>
      </c>
      <c r="H6" s="24">
        <v>0.13</v>
      </c>
      <c r="I6" s="25">
        <f t="shared" si="0"/>
        <v>2761.0622</v>
      </c>
      <c r="J6" s="25">
        <f t="shared" si="1"/>
        <v>24000.0022</v>
      </c>
      <c r="K6" s="12" t="s">
        <v>71</v>
      </c>
      <c r="L6" s="12" t="s">
        <v>65</v>
      </c>
      <c r="M6" s="12" t="s">
        <v>17</v>
      </c>
      <c r="N6" s="12" t="s">
        <v>73</v>
      </c>
    </row>
    <row r="7" customHeight="1" spans="1:14">
      <c r="A7" s="26"/>
      <c r="B7" s="26"/>
      <c r="C7" s="26"/>
      <c r="D7" s="26"/>
      <c r="E7" s="26"/>
      <c r="F7" s="26"/>
      <c r="G7" s="26"/>
      <c r="H7" s="26"/>
      <c r="I7" s="26"/>
      <c r="J7" s="26"/>
      <c r="K7" s="26"/>
      <c r="L7" s="26"/>
      <c r="M7" s="26"/>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
  <sheetViews>
    <sheetView zoomScale="85" zoomScaleNormal="85" workbookViewId="0">
      <selection activeCell="A1" sqref="A1:N1"/>
    </sheetView>
  </sheetViews>
  <sheetFormatPr defaultColWidth="8.72727272727273" defaultRowHeight="31" customHeight="1" outlineLevelRow="4"/>
  <cols>
    <col min="1" max="1" width="3.81818181818182" style="23" customWidth="1"/>
    <col min="2" max="2" width="11.8181818181818" style="23" customWidth="1"/>
    <col min="3" max="3" width="30.9090909090909" style="23" customWidth="1"/>
    <col min="4" max="5" width="8.72727272727273" style="23"/>
    <col min="6" max="7" width="10.5454545454545" style="23"/>
    <col min="8" max="8" width="11.7272727272727" style="23"/>
    <col min="9" max="9" width="11.8181818181818" style="23"/>
    <col min="10" max="10" width="12.9090909090909" style="23"/>
    <col min="11" max="13" width="8.72727272727273" style="23"/>
    <col min="14" max="14" width="27.2727272727273" style="23" customWidth="1"/>
    <col min="15" max="16384" width="8.72727272727273" style="23"/>
  </cols>
  <sheetData>
    <row r="1" customHeight="1" spans="1:14">
      <c r="A1" s="12" t="s">
        <v>1</v>
      </c>
      <c r="B1" s="12" t="s">
        <v>2</v>
      </c>
      <c r="C1" s="12" t="s">
        <v>3</v>
      </c>
      <c r="D1" s="12" t="s">
        <v>4</v>
      </c>
      <c r="E1" s="12" t="s">
        <v>5</v>
      </c>
      <c r="F1" s="13" t="s">
        <v>6</v>
      </c>
      <c r="G1" s="13" t="s">
        <v>7</v>
      </c>
      <c r="H1" s="12" t="s">
        <v>8</v>
      </c>
      <c r="I1" s="14" t="s">
        <v>9</v>
      </c>
      <c r="J1" s="14" t="s">
        <v>10</v>
      </c>
      <c r="K1" s="12" t="s">
        <v>11</v>
      </c>
      <c r="L1" s="15" t="s">
        <v>12</v>
      </c>
      <c r="M1" s="15" t="s">
        <v>13</v>
      </c>
      <c r="N1" s="16" t="s">
        <v>61</v>
      </c>
    </row>
    <row r="2" customHeight="1" spans="1:14">
      <c r="A2" s="16">
        <v>1</v>
      </c>
      <c r="B2" s="16" t="s">
        <v>14</v>
      </c>
      <c r="C2" s="16" t="s">
        <v>78</v>
      </c>
      <c r="D2" s="16" t="s">
        <v>63</v>
      </c>
      <c r="E2" s="16">
        <v>1</v>
      </c>
      <c r="F2" s="16">
        <v>104336.28</v>
      </c>
      <c r="G2" s="16">
        <f>F2</f>
        <v>104336.28</v>
      </c>
      <c r="H2" s="19">
        <v>0.13</v>
      </c>
      <c r="I2" s="18">
        <f>H2*G2</f>
        <v>13563.7164</v>
      </c>
      <c r="J2" s="18">
        <f>I2+G2</f>
        <v>117899.9964</v>
      </c>
      <c r="K2" s="16"/>
      <c r="L2" s="16" t="s">
        <v>79</v>
      </c>
      <c r="M2" s="16" t="s">
        <v>18</v>
      </c>
      <c r="N2" s="12" t="s">
        <v>80</v>
      </c>
    </row>
    <row r="3" customHeight="1" spans="1:14">
      <c r="A3" s="16">
        <v>2</v>
      </c>
      <c r="B3" s="16" t="s">
        <v>14</v>
      </c>
      <c r="C3" s="16" t="s">
        <v>81</v>
      </c>
      <c r="D3" s="16" t="s">
        <v>63</v>
      </c>
      <c r="E3" s="16">
        <v>1</v>
      </c>
      <c r="F3" s="16">
        <v>41415.93</v>
      </c>
      <c r="G3" s="16">
        <f>F3</f>
        <v>41415.93</v>
      </c>
      <c r="H3" s="19">
        <v>0.13</v>
      </c>
      <c r="I3" s="18">
        <f>H3*G3</f>
        <v>5384.0709</v>
      </c>
      <c r="J3" s="18">
        <f>I3+G3</f>
        <v>46800.0009</v>
      </c>
      <c r="K3" s="16"/>
      <c r="L3" s="16" t="s">
        <v>79</v>
      </c>
      <c r="M3" s="16" t="s">
        <v>18</v>
      </c>
      <c r="N3" s="12" t="s">
        <v>80</v>
      </c>
    </row>
    <row r="4" customHeight="1" spans="1:14">
      <c r="A4" s="16">
        <v>3</v>
      </c>
      <c r="B4" s="16" t="s">
        <v>14</v>
      </c>
      <c r="C4" s="16" t="s">
        <v>82</v>
      </c>
      <c r="D4" s="16" t="s">
        <v>63</v>
      </c>
      <c r="E4" s="16">
        <v>1</v>
      </c>
      <c r="F4" s="16">
        <v>20619.47</v>
      </c>
      <c r="G4" s="16">
        <f>F4</f>
        <v>20619.47</v>
      </c>
      <c r="H4" s="19">
        <v>0.13</v>
      </c>
      <c r="I4" s="18">
        <f>H4*G4</f>
        <v>2680.5311</v>
      </c>
      <c r="J4" s="18">
        <f>I4+G4</f>
        <v>23300.0011</v>
      </c>
      <c r="K4" s="16"/>
      <c r="L4" s="16" t="s">
        <v>79</v>
      </c>
      <c r="M4" s="16" t="s">
        <v>18</v>
      </c>
      <c r="N4" s="12" t="s">
        <v>80</v>
      </c>
    </row>
    <row r="5" customHeight="1" spans="1:14">
      <c r="A5" s="16">
        <v>4</v>
      </c>
      <c r="B5" s="16" t="s">
        <v>14</v>
      </c>
      <c r="C5" s="16" t="s">
        <v>83</v>
      </c>
      <c r="D5" s="16" t="s">
        <v>63</v>
      </c>
      <c r="E5" s="16">
        <v>1</v>
      </c>
      <c r="F5" s="16">
        <v>231858.41</v>
      </c>
      <c r="G5" s="16">
        <f>F5</f>
        <v>231858.41</v>
      </c>
      <c r="H5" s="19">
        <v>0.13</v>
      </c>
      <c r="I5" s="18">
        <f>H5*G5</f>
        <v>30141.5933</v>
      </c>
      <c r="J5" s="18">
        <f>I5+G5</f>
        <v>262000.0033</v>
      </c>
      <c r="K5" s="16"/>
      <c r="L5" s="16" t="s">
        <v>79</v>
      </c>
      <c r="M5" s="16" t="s">
        <v>18</v>
      </c>
      <c r="N5" s="12" t="s">
        <v>80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zoomScale="70" zoomScaleNormal="70" workbookViewId="0">
      <selection activeCell="A1" sqref="A1:N1"/>
    </sheetView>
  </sheetViews>
  <sheetFormatPr defaultColWidth="8.72727272727273" defaultRowHeight="14" outlineLevelRow="6"/>
  <cols>
    <col min="1" max="1" width="4.63636363636364" customWidth="1"/>
    <col min="2" max="2" width="11.8181818181818" customWidth="1"/>
    <col min="3" max="3" width="22.7272727272727" customWidth="1"/>
    <col min="6" max="7" width="12.9090909090909"/>
    <col min="9" max="9" width="12.9090909090909"/>
    <col min="14" max="14" width="45.4545454545455" customWidth="1"/>
  </cols>
  <sheetData>
    <row r="1" ht="28" spans="1:14">
      <c r="A1" s="12" t="s">
        <v>1</v>
      </c>
      <c r="B1" s="12" t="s">
        <v>2</v>
      </c>
      <c r="C1" s="12" t="s">
        <v>3</v>
      </c>
      <c r="D1" s="12" t="s">
        <v>4</v>
      </c>
      <c r="E1" s="12" t="s">
        <v>5</v>
      </c>
      <c r="F1" s="13" t="s">
        <v>6</v>
      </c>
      <c r="G1" s="13" t="s">
        <v>7</v>
      </c>
      <c r="H1" s="12" t="s">
        <v>8</v>
      </c>
      <c r="I1" s="14" t="s">
        <v>9</v>
      </c>
      <c r="J1" s="14" t="s">
        <v>10</v>
      </c>
      <c r="K1" s="12" t="s">
        <v>11</v>
      </c>
      <c r="L1" s="15" t="s">
        <v>12</v>
      </c>
      <c r="M1" s="15" t="s">
        <v>13</v>
      </c>
      <c r="N1" s="16" t="s">
        <v>61</v>
      </c>
    </row>
    <row r="2" ht="168" spans="1:14">
      <c r="A2" s="16">
        <v>1</v>
      </c>
      <c r="B2" s="16" t="s">
        <v>14</v>
      </c>
      <c r="C2" s="17" t="s">
        <v>84</v>
      </c>
      <c r="D2" s="16" t="s">
        <v>63</v>
      </c>
      <c r="E2" s="16">
        <v>2</v>
      </c>
      <c r="F2" s="18">
        <v>24849.5575221239</v>
      </c>
      <c r="G2" s="18">
        <f>F2*E2</f>
        <v>49699.1150442478</v>
      </c>
      <c r="H2" s="19">
        <v>0.13</v>
      </c>
      <c r="I2" s="18">
        <f>G2*0.13</f>
        <v>6460.88495575221</v>
      </c>
      <c r="J2" s="16">
        <f>I2+G2</f>
        <v>56160</v>
      </c>
      <c r="K2" s="12" t="s">
        <v>85</v>
      </c>
      <c r="L2" s="16" t="s">
        <v>86</v>
      </c>
      <c r="M2" s="16">
        <v>304</v>
      </c>
      <c r="N2" s="12" t="s">
        <v>87</v>
      </c>
    </row>
    <row r="3" ht="168" spans="1:14">
      <c r="A3" s="16">
        <v>2</v>
      </c>
      <c r="B3" s="16" t="s">
        <v>14</v>
      </c>
      <c r="C3" s="17" t="s">
        <v>88</v>
      </c>
      <c r="D3" s="16" t="s">
        <v>63</v>
      </c>
      <c r="E3" s="16">
        <v>2</v>
      </c>
      <c r="F3" s="18">
        <v>37592.9203539823</v>
      </c>
      <c r="G3" s="18">
        <f>F3*E3</f>
        <v>75185.8407079646</v>
      </c>
      <c r="H3" s="19">
        <v>0.13</v>
      </c>
      <c r="I3" s="18">
        <f>G3*0.13</f>
        <v>9774.1592920354</v>
      </c>
      <c r="J3" s="16">
        <f>I3+G3</f>
        <v>84960</v>
      </c>
      <c r="K3" s="20" t="s">
        <v>89</v>
      </c>
      <c r="L3" s="16" t="s">
        <v>86</v>
      </c>
      <c r="M3" s="16">
        <v>304</v>
      </c>
      <c r="N3" s="12" t="s">
        <v>87</v>
      </c>
    </row>
    <row r="6" spans="1:14">
      <c r="F6" s="21"/>
      <c r="G6" s="22"/>
    </row>
    <row r="7" spans="1:14">
      <c r="F7" s="21"/>
      <c r="G7" s="22"/>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
  <sheetViews>
    <sheetView tabSelected="1" zoomScale="70" zoomScaleNormal="70" workbookViewId="0">
      <selection activeCell="N17" sqref="N17"/>
    </sheetView>
  </sheetViews>
  <sheetFormatPr defaultColWidth="8.72727272727273" defaultRowHeight="13" outlineLevelRow="4"/>
  <cols>
    <col min="1" max="1" width="8.72727272727273" style="1"/>
    <col min="2" max="2" width="15.5454545454545" style="1" customWidth="1"/>
    <col min="3" max="3" width="22" style="1" customWidth="1"/>
    <col min="4" max="5" width="8.72727272727273" style="1"/>
    <col min="6" max="7" width="12.9090909090909" style="1"/>
    <col min="8" max="8" width="8.72727272727273" style="1"/>
    <col min="9" max="9" width="12.9090909090909" style="1"/>
    <col min="10" max="10" width="8.72727272727273" style="1"/>
    <col min="11" max="11" width="30.6363636363636" style="1" customWidth="1"/>
    <col min="12" max="12" width="7.90909090909091" style="1" customWidth="1"/>
    <col min="13" max="13" width="8.72727272727273" style="1"/>
    <col min="14" max="14" width="57.1363636363636" style="1" customWidth="1"/>
    <col min="15" max="16384" width="8.72727272727273" style="1"/>
  </cols>
  <sheetData>
    <row r="1" ht="26" spans="1:14">
      <c r="A1" s="2" t="s">
        <v>1</v>
      </c>
      <c r="B1" s="2" t="s">
        <v>2</v>
      </c>
      <c r="C1" s="2" t="s">
        <v>3</v>
      </c>
      <c r="D1" s="2" t="s">
        <v>4</v>
      </c>
      <c r="E1" s="2" t="s">
        <v>5</v>
      </c>
      <c r="F1" s="3" t="s">
        <v>6</v>
      </c>
      <c r="G1" s="3" t="s">
        <v>7</v>
      </c>
      <c r="H1" s="2" t="s">
        <v>8</v>
      </c>
      <c r="I1" s="4" t="s">
        <v>9</v>
      </c>
      <c r="J1" s="4" t="s">
        <v>10</v>
      </c>
      <c r="K1" s="2" t="s">
        <v>11</v>
      </c>
      <c r="L1" s="2" t="s">
        <v>12</v>
      </c>
      <c r="M1" s="2" t="s">
        <v>13</v>
      </c>
      <c r="N1" s="5" t="s">
        <v>61</v>
      </c>
    </row>
    <row r="2" ht="52" spans="1:14">
      <c r="A2" s="5">
        <v>1</v>
      </c>
      <c r="B2" s="6" t="s">
        <v>14</v>
      </c>
      <c r="C2" s="7" t="s">
        <v>90</v>
      </c>
      <c r="D2" s="6" t="s">
        <v>16</v>
      </c>
      <c r="E2" s="5">
        <v>1</v>
      </c>
      <c r="F2" s="8">
        <f>J2/1.13</f>
        <v>88318.5840707965</v>
      </c>
      <c r="G2" s="8">
        <f>F2*E2</f>
        <v>88318.5840707965</v>
      </c>
      <c r="H2" s="9">
        <v>0.13</v>
      </c>
      <c r="I2" s="8">
        <f>G2*0.13</f>
        <v>11481.4159292035</v>
      </c>
      <c r="J2" s="7">
        <v>99800</v>
      </c>
      <c r="K2" s="10" t="s">
        <v>91</v>
      </c>
      <c r="L2" s="10" t="s">
        <v>92</v>
      </c>
      <c r="M2" s="5">
        <v>304</v>
      </c>
      <c r="N2" s="5" t="s">
        <v>93</v>
      </c>
    </row>
    <row r="3" ht="65" spans="1:14">
      <c r="A3" s="5">
        <v>2</v>
      </c>
      <c r="B3" s="6" t="s">
        <v>14</v>
      </c>
      <c r="C3" s="7" t="s">
        <v>94</v>
      </c>
      <c r="D3" s="6" t="s">
        <v>16</v>
      </c>
      <c r="E3" s="5">
        <v>1</v>
      </c>
      <c r="F3" s="8">
        <f>J3/1.13</f>
        <v>17256.6371681416</v>
      </c>
      <c r="G3" s="8">
        <f>F3*E3</f>
        <v>17256.6371681416</v>
      </c>
      <c r="H3" s="9">
        <v>0.13</v>
      </c>
      <c r="I3" s="8">
        <f>G3*0.13</f>
        <v>2243.36283185841</v>
      </c>
      <c r="J3" s="7">
        <v>19500</v>
      </c>
      <c r="K3" s="10" t="s">
        <v>95</v>
      </c>
      <c r="L3" s="10" t="s">
        <v>92</v>
      </c>
      <c r="M3" s="5">
        <v>304</v>
      </c>
      <c r="N3" s="5" t="s">
        <v>93</v>
      </c>
    </row>
    <row r="4" ht="52" spans="1:14">
      <c r="A4" s="5">
        <v>3</v>
      </c>
      <c r="B4" s="6" t="s">
        <v>96</v>
      </c>
      <c r="C4" s="7" t="s">
        <v>97</v>
      </c>
      <c r="D4" s="6" t="s">
        <v>16</v>
      </c>
      <c r="E4" s="5">
        <v>1</v>
      </c>
      <c r="F4" s="8">
        <f>J4/1.13</f>
        <v>5044.24778761062</v>
      </c>
      <c r="G4" s="8">
        <f>F4*E4</f>
        <v>5044.24778761062</v>
      </c>
      <c r="H4" s="9">
        <v>0.13</v>
      </c>
      <c r="I4" s="8">
        <f>G4*0.13</f>
        <v>655.752212389381</v>
      </c>
      <c r="J4" s="5">
        <v>5700</v>
      </c>
      <c r="K4" s="7" t="s">
        <v>98</v>
      </c>
      <c r="L4" s="10" t="s">
        <v>99</v>
      </c>
      <c r="M4" s="5"/>
      <c r="N4" s="5" t="s">
        <v>93</v>
      </c>
    </row>
    <row r="5" spans="1:14">
      <c r="K5" s="1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不锈钢水箱投标清单</vt:lpstr>
      <vt:lpstr>不锈钢水箱投标清单技术明细</vt:lpstr>
      <vt:lpstr>汇总</vt:lpstr>
      <vt:lpstr>港汇恒隆</vt:lpstr>
      <vt:lpstr>无锡XDG-2021-104地块</vt:lpstr>
      <vt:lpstr>交子公园</vt:lpstr>
      <vt:lpstr>金桥17B-06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W.CHEN</dc:creator>
  <cp:lastModifiedBy>L</cp:lastModifiedBy>
  <dcterms:created xsi:type="dcterms:W3CDTF">2023-05-12T11:15:00Z</dcterms:created>
  <cp:lastPrinted>2024-10-09T08:03:00Z</cp:lastPrinted>
  <dcterms:modified xsi:type="dcterms:W3CDTF">2026-05-13T06:28:32Z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A2A1FEE8A7BF4663A7C6F35DF6A3E765_13</vt:lpwstr>
  </property>
  <property fmtid="{D5CDD505-2E9C-101B-9397-08002B2CF9AE}" pid="4" name="CalculationRule">
    <vt:i4>0</vt:i4>
  </property>
</Properties>
</file>