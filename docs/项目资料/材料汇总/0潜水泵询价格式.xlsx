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 firstSheet="1" activeTab="1"/>
  </bookViews>
  <sheets>
    <sheet name="Sheet1" sheetId="7" r:id="rId1"/>
    <sheet name="汇总" sheetId="14" r:id="rId2"/>
    <sheet name="龙旗科技" sheetId="8" r:id="rId3"/>
    <sheet name="华泾镇D5D-1" sheetId="9" r:id="rId4"/>
    <sheet name="金鼎16-01" sheetId="10" r:id="rId5"/>
    <sheet name="中科院" sheetId="11" r:id="rId6"/>
    <sheet name="凤栖谷" sheetId="12" r:id="rId7"/>
    <sheet name="张江高科站" sheetId="13" r:id="rId8"/>
  </sheets>
  <definedNames>
    <definedName name="_xlnm._FilterDatabase" localSheetId="4" hidden="1">'金鼎16-01'!$A$1:$O$134</definedName>
    <definedName name="_xlnm._FilterDatabase" localSheetId="2" hidden="1">龙旗科技!$A$1:$M$226</definedName>
    <definedName name="_xlnm._FilterDatabase" localSheetId="0" hidden="1">Sheet1!$A$1:$L$25</definedName>
    <definedName name="_xlnm._FilterDatabase" localSheetId="5" hidden="1">中科院!$A$1:$M$97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<sst xmlns="http://schemas.openxmlformats.org/spreadsheetml/2006/main" count="2405" uniqueCount="269">
  <si>
    <t>报   价   单</t>
  </si>
  <si>
    <t>序号</t>
  </si>
  <si>
    <t>产品名称</t>
  </si>
  <si>
    <t>型号</t>
  </si>
  <si>
    <t>流量Q(m3/h)</t>
  </si>
  <si>
    <t>扬程H(m)</t>
  </si>
  <si>
    <t>转数</t>
  </si>
  <si>
    <t>功率N(KW)</t>
  </si>
  <si>
    <t>数量</t>
  </si>
  <si>
    <t>税率</t>
  </si>
  <si>
    <t>单价</t>
  </si>
  <si>
    <t>总价</t>
  </si>
  <si>
    <t>备        注</t>
  </si>
  <si>
    <t>潜水排污泵</t>
  </si>
  <si>
    <t>电缆*米；增加一米，价格加；泵体材质：*；泵轴材质：*；</t>
  </si>
  <si>
    <t>自耦</t>
  </si>
  <si>
    <t>自耦材质：*；</t>
  </si>
  <si>
    <t>导杆</t>
  </si>
  <si>
    <t>导杆材质：*；单根长度*米（2根一套）增加一米，价格加</t>
  </si>
  <si>
    <t>链条</t>
  </si>
  <si>
    <t>链条材质：*；长度*米增加一米，价格加</t>
  </si>
  <si>
    <t>控制柜</t>
  </si>
  <si>
    <t>一控*；自动交替；超高水位*泵同时启动；带BA接口：只监不控（运行、停止、故障）/带高液位报警，元器件：*；*个断路器；</t>
  </si>
  <si>
    <t>浮球</t>
  </si>
  <si>
    <t>控制线*米增加一米，价格加</t>
  </si>
  <si>
    <t>总计</t>
  </si>
  <si>
    <t>品牌</t>
  </si>
  <si>
    <t>B1柴发集水井潜污泵</t>
  </si>
  <si>
    <t>50WQ11103</t>
  </si>
  <si>
    <t>东方</t>
  </si>
  <si>
    <t>2025.7.15，货到现场1个月付至到货金额95%，供货完成提供5%两年银行质保函</t>
  </si>
  <si>
    <t>GAK50</t>
  </si>
  <si>
    <t>32*1.2</t>
  </si>
  <si>
    <t>6mm</t>
  </si>
  <si>
    <t>/</t>
  </si>
  <si>
    <t>B1备用机房集水井排水泵</t>
  </si>
  <si>
    <t>50WQ11101</t>
  </si>
  <si>
    <t>B1锅炉房集水井排水泵</t>
  </si>
  <si>
    <t>50WQ11123</t>
  </si>
  <si>
    <t>B1锅炉水泵房集水井排水泵</t>
  </si>
  <si>
    <t>B1消防泵集水井排水泵</t>
  </si>
  <si>
    <t>B1报警阀间集水井排污泵</t>
  </si>
  <si>
    <t>B1坡道集水井排水泵</t>
  </si>
  <si>
    <t>80WQ11163</t>
  </si>
  <si>
    <t>GAK80</t>
  </si>
  <si>
    <t>B1报警阀间集水井排水泵</t>
  </si>
  <si>
    <t>B1电站集水井排水泵</t>
  </si>
  <si>
    <t>B1非机动车坡道集水井排水泵</t>
  </si>
  <si>
    <t>B1制冷机房集水井排水泵</t>
  </si>
  <si>
    <t>B1隔油间集水井排水泵</t>
  </si>
  <si>
    <t>B1卸货区集水井排水泵</t>
  </si>
  <si>
    <t>50WQ11072</t>
  </si>
  <si>
    <t>50WQ11152</t>
  </si>
  <si>
    <t>B1垃圾房集水井排水泵</t>
  </si>
  <si>
    <t>B1下沉广场集水井排水泵</t>
  </si>
  <si>
    <t>80WQ11152</t>
  </si>
  <si>
    <t>B2雨水机房集水井排水泵</t>
  </si>
  <si>
    <t>B2隔油间集水井排水泵</t>
  </si>
  <si>
    <t>B3地库冲洗集水井排水泵</t>
  </si>
  <si>
    <t>50WQ11064</t>
  </si>
  <si>
    <t>B3普通电梯集水井排水泵</t>
  </si>
  <si>
    <t>50WQ11053</t>
  </si>
  <si>
    <t>65WQ11091A</t>
  </si>
  <si>
    <t>GAK65</t>
  </si>
  <si>
    <t>B3消防电梯集水井排水泵</t>
  </si>
  <si>
    <t>65WQ11085</t>
  </si>
  <si>
    <t>B3生活水泵房集水井排水泵</t>
  </si>
  <si>
    <t>人防区移动电站集水井</t>
  </si>
  <si>
    <t>50WQ11063</t>
  </si>
  <si>
    <t>50WQ/E30-14-2.2</t>
  </si>
  <si>
    <t>2025.12.15，电缆线5米；增加一米价格加15元；泵体材质：HT200；泵轴材质：2CR13；</t>
  </si>
  <si>
    <t>自耦装置</t>
  </si>
  <si>
    <t>DN:50</t>
  </si>
  <si>
    <t>自耦装置材质：HT200；</t>
  </si>
  <si>
    <t>304不锈钢导杆</t>
  </si>
  <si>
    <t>导杆；单根长度2米（2根一套）；单根长度每增加一米价格加200元</t>
  </si>
  <si>
    <t>304不锈钢链条</t>
  </si>
  <si>
    <t>304不锈钢链条长度2.0米；长度每增加一米价格加115元</t>
  </si>
  <si>
    <t>KQK/T-2ACE-2.2</t>
  </si>
  <si>
    <t>一控二；自动交替；超高水位双泵同时启动；带BA接口：只监不控（运行、停止、故障）/带高液位报警，通过3浮球控制（低水位：停泵，高水位启泵，超高水位发出报警信号），元器件：天正；2个断路器；</t>
  </si>
  <si>
    <t>GY-A1</t>
  </si>
  <si>
    <t>控制线每增加一米，价格加15元。</t>
  </si>
  <si>
    <t>50WQ/E15-25-2.2</t>
  </si>
  <si>
    <t>50WQ/E15-30-3</t>
  </si>
  <si>
    <t>KQK/T-2ACE-3</t>
  </si>
  <si>
    <t>65WQ/E30-18.5-3</t>
  </si>
  <si>
    <t>DN:65</t>
  </si>
  <si>
    <t>KQK/T-3ACE-3</t>
  </si>
  <si>
    <t>一控三；自动交替；超高水位双泵同时启动；带BA接口：只监不控（运行、停止、故障）/带高液位报警，通过5浮球控制（低水位：停泵，1水位启1台泵，2水位启2台泵，3水位启三台泵，超高水位发出报警信号），元器件：天正；3个断路器；</t>
  </si>
  <si>
    <t>65WQ/EC40-22-4</t>
  </si>
  <si>
    <t>2025.12.15，电缆线5米；增加一米价格加30元；泵体材质：HT200；泵轴材质：2CR13；电机带过热保护及油室漏水电机漏水保护</t>
  </si>
  <si>
    <t>KQK/T-2ACB-4</t>
  </si>
  <si>
    <t>一控二；自动交替；超高水位双泵同时启动；带BA接口：只监不控（运行、停止、故障）/带高液位报警，通过3浮球控制（低水位：停泵，高水位启泵，超高水位发出报警信号），带油室进水、电机腔进水、绕组过热等保护功能，元器件：天正；2个断路器；</t>
  </si>
  <si>
    <t>65WQ/EC40-30-5.5</t>
  </si>
  <si>
    <t>KQK/T-2ACB-5.5</t>
  </si>
  <si>
    <t>KQK/T-3ACB-5.5</t>
  </si>
  <si>
    <t>一控三；自动交替；超高水位双泵同时启动；带BA接口：只监不控（运行、停止、故障）/带高液位报警，通过5浮球控制（低水位：停泵，1水位启1台泵，2水位启2台泵，3水位启三台泵，超高水位发出报警信号），带油室进水、电机腔进水、绕组过热等保护功能，元器件：天正；3个断路器；</t>
  </si>
  <si>
    <t>2025.12.15，电缆线5米；增加一米价格加30元；泵体材质：HT200；泵轴材质：2CR13；电机具有：过热保护及油室漏水电机漏水保护</t>
  </si>
  <si>
    <t>50WQ/E20-10.5-1.1</t>
  </si>
  <si>
    <t>KQK/T-2ACE-1.1</t>
  </si>
  <si>
    <t>50WQ/E10-24-1.5</t>
  </si>
  <si>
    <t>KQK/T-2ACE-1.5</t>
  </si>
  <si>
    <t>一控二；自动交替；超高水位双泵同时启动；带BA接口：只监不控（运行、停止、故障）/带高液位报警，（低水位：停泵，高水位启泵，超高水位发出报警信号），元器件：天正；2个断路器；</t>
  </si>
  <si>
    <t>备注</t>
  </si>
  <si>
    <t>100WQ65-20-7.5</t>
  </si>
  <si>
    <t>申宝</t>
  </si>
  <si>
    <t>标配电缆5米；增加一米，价格加15；2025.12.10，无预付款，货到现场一个月付至到货款的95%，（六个月商业银行承兑汇票），结算金额5%，质保两年，无息支付</t>
  </si>
  <si>
    <r>
      <rPr>
        <sz val="10"/>
        <rFont val="宋体"/>
        <charset val="134"/>
      </rPr>
      <t>GAK-</t>
    </r>
    <r>
      <rPr>
        <sz val="10"/>
        <color rgb="FF204050"/>
        <rFont val="宋体"/>
        <charset val="134"/>
      </rPr>
      <t>1</t>
    </r>
    <r>
      <rPr>
        <sz val="10"/>
        <rFont val="宋体"/>
        <charset val="134"/>
      </rPr>
      <t>00</t>
    </r>
  </si>
  <si>
    <t>2025.12.10，无预付款，货到现场一个月付至到货款的95%，（六个月商业银行承兑汇票），结算金额5%，质保两年，无息支付</t>
  </si>
  <si>
    <t>不锈钢导杆</t>
  </si>
  <si>
    <t>单根长度2米(2根一套)</t>
  </si>
  <si>
    <t>增加一米，价格加280；2025.12.10，无预付款，货到现场一个月付至到货款的95%，（六个月商业银行承兑汇票），结算金额5%，质保两年，无息支付</t>
  </si>
  <si>
    <t>不锈钢链条</t>
  </si>
  <si>
    <t>长度3米</t>
  </si>
  <si>
    <t>增加一米，价格加60；2025.12.10，无预付款，货到现场一个月付至到货款的95%，（六个月商业银行承兑汇票），结算金额5%，质保两年，无息支付</t>
  </si>
  <si>
    <t>SBKP-3ACL-7.5</t>
  </si>
  <si>
    <t>一控三；自动交替带BA接口：只监不控
(运行、停止、故障)/带高液位报警，
不含浮球，断路器：施耐德，接触器，
继电器：正泰；二个施耐德断路器；2025.12.10，无预付款，货到现场一个月付至到货款的95%，（六个月商业银行承兑汇票），结算金额5%，质保两年，无息支付</t>
  </si>
  <si>
    <t>80WQ50-25-7.5</t>
  </si>
  <si>
    <t>GAK-80</t>
  </si>
  <si>
    <t>SBKP-2ACL-7.5</t>
  </si>
  <si>
    <t>一控二，自动交替带BA接口：只监不控
(运行、停止、故障)/带高液位报警，
不含浮球，断路器：施耐德，接触器，
继电器：正泰；三个施耐德断路器；2025.12.10，无预付款，货到现场一个月付至到货款的95%，（六个月商业银行承兑汇票），结算金额5%，质保两年，无息支付</t>
  </si>
  <si>
    <t>一控二；自动交替带BA接口：只监不控
(运行、停止、故障)/带高液位报警，
不含浮球，断路器：施耐德，接触器，
继电器：正泰；二个施耐德断路器；2025.12.10，无预付款，货到现场一个月付至到货款的95%，（六个月商业银行承兑汇票），结算金额5%，质保两年，无息支付</t>
  </si>
  <si>
    <t>65WQ25-18-3</t>
  </si>
  <si>
    <t>GAK-65</t>
  </si>
  <si>
    <t>增加一米，价格加240；2025.12.10，无预付款，货到现场一个月付至到货款的95%，（六个月商业银行承兑汇票），结算金额5%，质保两年，无息支付</t>
  </si>
  <si>
    <t>SBKP-2ACL-3</t>
  </si>
  <si>
    <t>自动交替带BA接口：只监不控(运行、
停止、故障)/带高液位报警，不含浮球，
断路器：施耐德，接触器，继电器：正
泰；二个施耐德断路器；2025.12.10，无预付款，货到现场一个月付至到货款的95%，（六个月商业银行承兑汇票），结算金额5%，质保两年，无息支付</t>
  </si>
  <si>
    <t>50WQ15-18-2.2</t>
  </si>
  <si>
    <t>GAK-50</t>
  </si>
  <si>
    <t>SBKP-2ACL-2.2</t>
  </si>
  <si>
    <t>50WQ10-18-2.2</t>
  </si>
  <si>
    <t>工</t>
  </si>
  <si>
    <r>
      <rPr>
        <sz val="10"/>
        <rFont val="宋体"/>
        <charset val="134"/>
      </rPr>
      <t>GAK-</t>
    </r>
    <r>
      <rPr>
        <sz val="10"/>
        <color rgb="FF102030"/>
        <rFont val="宋体"/>
        <charset val="134"/>
      </rPr>
      <t>1</t>
    </r>
    <r>
      <rPr>
        <sz val="10"/>
        <rFont val="宋体"/>
        <charset val="134"/>
      </rPr>
      <t>00</t>
    </r>
  </si>
  <si>
    <t>65WQ40-20-4</t>
  </si>
  <si>
    <t>SBKP-2ACL-4</t>
  </si>
  <si>
    <t>50WQ30-20-3</t>
  </si>
  <si>
    <t>50WQ25-20-3</t>
  </si>
  <si>
    <t>增加一米，价格加602025.12.10，无预付款，货到现场一个月付至到货款的95%，（六个月商业银行承兑汇票），结算金额5%，质保两年，无息支付</t>
  </si>
  <si>
    <t>50WQ25-15-2.2</t>
  </si>
  <si>
    <t>标配电缆5米增加一米，价格加15；2025.12.10，无预付款，货到现场一个月付至到货款的95%，（六个月商业银行承兑汇票），结算金额5%，质保两年，无息支付</t>
  </si>
  <si>
    <t>50WQ15-20-2.2</t>
  </si>
  <si>
    <t>SBKP-1L-2.2</t>
  </si>
  <si>
    <t>50WQ10-30-4</t>
  </si>
  <si>
    <t>50WQ10-20-2.2</t>
  </si>
  <si>
    <t>卫生间一体化提升装置</t>
  </si>
  <si>
    <t>15L/S</t>
  </si>
  <si>
    <t>单根长度1米(2根一套)</t>
  </si>
  <si>
    <t>长度1米</t>
  </si>
  <si>
    <t>不锈钢水箱</t>
  </si>
  <si>
    <t>配置：1500*1000*1000不锈钢304水箱
一台(厚度2mm)</t>
  </si>
  <si>
    <t>65WQ25-36-7.5</t>
  </si>
  <si>
    <t>50WQ20-32-5.5</t>
  </si>
  <si>
    <t>SBKP-2ACL-5.5</t>
  </si>
  <si>
    <t>50WQ15-35-5.5</t>
  </si>
  <si>
    <t>一控二；自动交替带BA接口：只监不控2025.12.10，无预付款，货到现场一个月付至到货款的95%，（六个月商业银行承兑汇票），结算金额5%，质保两年，无息支付</t>
  </si>
  <si>
    <t xml:space="preserve">
控制柜</t>
  </si>
  <si>
    <t>(运行、停止、故障)/带高液位报警，
不含浮球，断路器：施耐德，接触器，
继电器：正泰；二个施耐德断路器；2025.12.10，无预付款，货到现场一个月付至到货款的95%，（六个月商业银行承兑汇票），结算金额5%，质保两年，无息支付</t>
  </si>
  <si>
    <t>50WQ20-35-7.5</t>
  </si>
  <si>
    <t>配置：1000*1000*1000不锈钢304水箱
一台(厚度2mm)</t>
  </si>
  <si>
    <t>80WQ60-30-11</t>
  </si>
  <si>
    <t>SBKP-2ACL-11</t>
  </si>
  <si>
    <t>65WQ36-35-7.5</t>
  </si>
  <si>
    <t>一控三，自动交替带BA接口：只监不控
(运行、停止、故障)/带高液位报警，2025.12.10，无预付款，货到现场一个月付至到货款的95%，（六个月商业银行承兑汇票），结算金额5%，质保两年，无息支付</t>
  </si>
  <si>
    <t>不含浮球，断路器：施耐德，接触器，
继电器：正泰；三个施耐德断路器；2025.12.10，无预付款，货到现场一个月付至到货款的95%，（六个月商业银行承兑汇票），结算金额5%，质保两年，无息支付</t>
  </si>
  <si>
    <t>一控三，自动交替带BA接口：只监不控
(运行、停止、故障)/带高液位报警，
不含浮球，断路器：施耐德，接触器，
继电器：正泰；三个施耐德断路器；2025.12.10，无预付款，货到现场一个月付至到货款的95%，（六个月商业银行承兑汇票），结算金额5%，质保两年，无息支付</t>
  </si>
  <si>
    <t>50WQ15-30-4</t>
  </si>
  <si>
    <t>浮球开关</t>
  </si>
  <si>
    <t>控制线5米</t>
  </si>
  <si>
    <t>增加一米，价格加5；2025.12.10，无预付款，货到现场一个月付至到货款的95%，（六个月商业银行承兑汇票），结算金额5%，质保两年，无息支付</t>
  </si>
  <si>
    <t>车库隔油沉砂废水集水井潜水排污泵</t>
  </si>
  <si>
    <t>50WQE20-15-1.5</t>
  </si>
  <si>
    <t>上海连城</t>
  </si>
  <si>
    <t>10米电缆线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t>
  </si>
  <si>
    <t>LEC-2ACS-1.5/B-D（主要元器件：正泰）</t>
  </si>
  <si>
    <t>双电源，一用一备；超高液位报警、二泵同时启动，含双电源国产系列CB级。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t>
  </si>
  <si>
    <t>GAK(II)-50</t>
  </si>
  <si>
    <t>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t>
  </si>
  <si>
    <t>配10米电缆线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t>
  </si>
  <si>
    <t>DN32×3.5</t>
  </si>
  <si>
    <t>3米镀锌导杆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t>
  </si>
  <si>
    <t>吊链</t>
  </si>
  <si>
    <t>6×18</t>
  </si>
  <si>
    <t>3.5米铁链一根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t>
  </si>
  <si>
    <t>LEC-2ACS-1.5/B（主要元器件：正泰）</t>
  </si>
  <si>
    <t>一用一备；超高液位报警、二泵同时启动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t>
  </si>
  <si>
    <t>非机动车道排水集水井潜水排污泵</t>
  </si>
  <si>
    <t>汽车坡道排水集水井潜水排污泵</t>
  </si>
  <si>
    <t>80WQE50-15-4</t>
  </si>
  <si>
    <t>LEC-2ACS-4/B（主要元器件：正泰）</t>
  </si>
  <si>
    <t>GAK(II)-80</t>
  </si>
  <si>
    <t>下沉式广场排水集水井潜水排污泵</t>
  </si>
  <si>
    <t>80WQE50-25-5.5</t>
  </si>
  <si>
    <t>LEC-3ACS-5.5/B（主要元器件：正泰）</t>
  </si>
  <si>
    <t>二用一备；超高液位报警、三泵同时启动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t>
  </si>
  <si>
    <t>楼梯间排水集水井潜水排污泵</t>
  </si>
  <si>
    <t>机房排水集水井潜水排污泵</t>
  </si>
  <si>
    <t>空调机房排水集水井潜水排污泵</t>
  </si>
  <si>
    <t>消防电梯排水集水井潜水排污泵</t>
  </si>
  <si>
    <t>65WQE30-22-4</t>
  </si>
  <si>
    <t>LEC-2ACS-4/B-D（主要元器件：正泰）</t>
  </si>
  <si>
    <t>GAK(II)-65</t>
  </si>
  <si>
    <t>消防水泵房集水井潜水排污泵</t>
  </si>
  <si>
    <t>80WQE50-20-5.5</t>
  </si>
  <si>
    <t>LEC-4ACS-5.5/B-D（主要元器件：正泰）</t>
  </si>
  <si>
    <t>消防报警阀间排水集水井潜水排污泵</t>
  </si>
  <si>
    <t>污水间地面排水集水井潜水排污泵</t>
  </si>
  <si>
    <t>客梯排水集水井潜水排污泵</t>
  </si>
  <si>
    <t>50WQE15-22-2.2</t>
  </si>
  <si>
    <t>LEC-2ACS-2.2/B（主要元器件：正泰）</t>
  </si>
  <si>
    <t>电缆沟排水集水井潜水排污泵</t>
  </si>
  <si>
    <t>65WQE30-10-1.5</t>
  </si>
  <si>
    <t>一用一备、超高液位报警、二泵同时启动，户外型安装（箱体材质冷轧钢板）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t>
  </si>
  <si>
    <t>电缆夹层排水集水井潜水排污泵</t>
  </si>
  <si>
    <t>LEC-2ACS-21.5/B（主要元器件：正泰）</t>
  </si>
  <si>
    <t>集水井潜水排污泵</t>
  </si>
  <si>
    <t>潜污泵</t>
  </si>
  <si>
    <t>65WQC40-23-5.5</t>
  </si>
  <si>
    <t>上海连成</t>
  </si>
  <si>
    <t>含耦合装置，2米标配导杆、吊链，8米四芯电缆，铸铁材质。带搅匀功能,电泳漆。2025.10.9,预付当批货款金额30%，供方提供等额预付款保函（现金转账），货到现场一个月付至结算金额97%（先抵扣预付款后再支付当批货款，现金转账），质保金3%的结算金额，质保2年。</t>
  </si>
  <si>
    <t>耦合</t>
  </si>
  <si>
    <t>DN65</t>
  </si>
  <si>
    <t>LEC-2ACS-5.5/B-BA</t>
  </si>
  <si>
    <t>一控二，四芯,主要器件国产，含两个浮球，（信号线8米）低液位停泵，高液位启一台泵，超高液位启2台泵并报警。BA系统对其运行状态和故障进行监视；2025.10.9,预付当批货款金额30%，供方提供等额预付款保函（现金转账），货到现场一个月付至结算金额97%（先抵扣预付款后再支付当批货款，现金转账），质保金3%的结算金额，质保2年。</t>
  </si>
  <si>
    <t>50WQC25-18-3</t>
  </si>
  <si>
    <t>DN50</t>
  </si>
  <si>
    <t>LEC-2ACS-3/B-BA</t>
  </si>
  <si>
    <t>污水泵</t>
  </si>
  <si>
    <t>50WQC10-25-3</t>
  </si>
  <si>
    <t>含耦合装置，1.5米标配导杆、吊链，8米四芯电缆，铸铁材质。带搅匀功能,电泳漆。2025.10.9,预付当批货款金额30%，供方提供等额预付款保函（现金转账），货到现场一个月付至结算金额97%（先抵扣预付款后再支付当批货款，现金转账），质保金3%的结算金额，质保2年。</t>
  </si>
  <si>
    <t>LCC-2ACS-3/B</t>
  </si>
  <si>
    <t>50WQC40-15-3</t>
  </si>
  <si>
    <t>LCC-2ACS-3/B-BA</t>
  </si>
  <si>
    <t>LCC-2ACS-5.5/B-BA</t>
  </si>
  <si>
    <t>蓄水池排空泵</t>
  </si>
  <si>
    <t>含耦合装置，4米标配导杆、吊链，12米四芯电缆，铸铁材质。带搅匀功能,电泳漆。2025.10.9,预付当批货款金额30%，供方提供等额预付款保函（现金转账），货到现场一个月付至结算金额97%（先抵扣预付款后再支付当批货款，现金转账），质保金3%的结算金额，质保2年。</t>
  </si>
  <si>
    <t>LCC-3HS-3/B-BA</t>
  </si>
  <si>
    <t>一控三，四芯,主要器件国产，含三个浮球，（信号线12米）低液位停泵，高液位启一台泵，较高液位启两台泵，超高液位启3台泵并报警。BA系统对其运行状态和故障进行监视；2025.10.9,预付当批货款金额30%，供方提供等额预付款保函（现金转账），货到现场一个月付至结算金额97%（先抵扣预付款后再支付当批货款，现金转账），质保金3%的结算金额，质保2年。</t>
  </si>
  <si>
    <t>人防潜水排污泵</t>
  </si>
  <si>
    <t>50WQC15-22-2.2</t>
  </si>
  <si>
    <t>含硬管弯头，12米四芯电缆，铸铁材质。,电泳漆。2025.10.9,预付当批货款金额30%，供方提供等额预付款保函（现金转账），货到现场一个月付至结算金额97%（先抵扣预付款后再支付当批货款，现金转账），质保金3%的结算金额，质保2年。</t>
  </si>
  <si>
    <t>LCC-1S-2.2/B-BA</t>
  </si>
  <si>
    <t>一控一，四芯,主要器件国产，含一个浮球，（信号线12米）低液位停泵，高液位启一台泵。BA系统对其运行状态和故障进行监视；2025.10.9,预付当批货款金额30%，供方提供等额预付款保函（现金转账），货到现场一个月付至结算金额97%（先抵扣预付款后再支付当批货款，现金转账），质保金3%的结算金额，质保2年。</t>
  </si>
  <si>
    <t>FAB-C05 -25.035A/T025-538</t>
  </si>
  <si>
    <t>含电缆10米，泵体材质：不锈钢，泵轴：不锈钢</t>
  </si>
  <si>
    <t>含耦合</t>
  </si>
  <si>
    <t>每根1.5m</t>
  </si>
  <si>
    <t>镀锌</t>
  </si>
  <si>
    <t>每条不锈钢链条1.5m</t>
  </si>
  <si>
    <t>不锈钢，包含卸扣</t>
  </si>
  <si>
    <t>一控二</t>
  </si>
  <si>
    <t>自动交替；超高水位同时启动；带BA接口：只监不控（运行、停止、故障）/带高液位报警</t>
  </si>
  <si>
    <t>一组2个浮球，控制线4m</t>
  </si>
  <si>
    <t>每个1.5m</t>
  </si>
  <si>
    <t>潜污泵 FAB-C05 - 35.035A/T039-538</t>
  </si>
  <si>
    <t>一控三</t>
  </si>
  <si>
    <t>一组3个浮球，控制线6m</t>
  </si>
  <si>
    <t>潜污泵 FAB-C06 - 29.060A/T050-538</t>
  </si>
  <si>
    <t>潜污泵 FAB-C06 - 23.058A/T025-538</t>
  </si>
  <si>
    <t>一控四</t>
  </si>
  <si>
    <t>一组4个浮球，控制线8m</t>
  </si>
  <si>
    <t>FAG80C45.80/110 DM 耦合怯-标准</t>
  </si>
  <si>
    <t>污水提升一体化装置</t>
  </si>
  <si>
    <t>FAB-S03 -32.019A/T015-538</t>
  </si>
  <si>
    <t>潜水排污泵（人防）</t>
  </si>
  <si>
    <t>潜污泵 FAB-C05 - 25.035A/T025-538</t>
  </si>
  <si>
    <t>一控一</t>
  </si>
  <si>
    <t>一组1个浮球，控制线2m</t>
  </si>
  <si>
    <t>手摇泵（人防）</t>
  </si>
  <si>
    <t>CS-32H型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</si>
</sst>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2][$-804]General"/>
    <numFmt numFmtId="177" formatCode="0_ "/>
    <numFmt numFmtId="178" formatCode="0.0_ "/>
    <numFmt numFmtId="179" formatCode="0.00;[Red]0.00"/>
    <numFmt numFmtId="180" formatCode="[DBNum2][$RMB]General;[Red][DBNum2][$RMB]General"/>
  </numFmts>
  <fonts count="46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theme="1"/>
      <name val="宋体"/>
      <charset val="134"/>
    </font>
    <font>
      <sz val="10"/>
      <name val="等线"/>
      <charset val="134"/>
    </font>
    <font>
      <sz val="10"/>
      <name val="微软雅黑"/>
      <charset val="134"/>
    </font>
    <font>
      <sz val="11"/>
      <name val="宋体"/>
      <charset val="134"/>
      <scheme val="minor"/>
    </font>
    <font>
      <sz val="10"/>
      <color rgb="FF000000"/>
      <name val="仿宋"/>
      <charset val="134"/>
    </font>
    <font>
      <sz val="10"/>
      <color theme="1"/>
      <name val="宋体"/>
      <charset val="134"/>
      <scheme val="minor"/>
    </font>
    <font>
      <sz val="10"/>
      <color indexed="8"/>
      <name val="宋体"/>
      <charset val="134"/>
    </font>
    <font>
      <sz val="10"/>
      <color rgb="FF000000"/>
      <name val="宋体"/>
      <charset val="204"/>
    </font>
    <font>
      <sz val="10"/>
      <color rgb="FF304040"/>
      <name val="宋体"/>
      <charset val="134"/>
    </font>
    <font>
      <sz val="10"/>
      <name val="仿宋"/>
      <charset val="134"/>
    </font>
    <font>
      <sz val="11"/>
      <name val="仿宋"/>
      <charset val="134"/>
    </font>
    <font>
      <sz val="8"/>
      <name val="仿宋"/>
      <charset val="134"/>
    </font>
    <font>
      <sz val="8"/>
      <color theme="1"/>
      <name val="仿宋"/>
      <charset val="134"/>
    </font>
    <font>
      <sz val="9"/>
      <color theme="1"/>
      <name val="宋体"/>
      <charset val="134"/>
      <scheme val="minor"/>
    </font>
    <font>
      <sz val="10"/>
      <color theme="1"/>
      <name val="等线"/>
      <charset val="134"/>
    </font>
    <font>
      <b/>
      <sz val="14"/>
      <color theme="1"/>
      <name val="等线"/>
      <charset val="134"/>
    </font>
    <font>
      <sz val="18"/>
      <name val="等线"/>
      <charset val="134"/>
    </font>
    <font>
      <sz val="11"/>
      <name val="等线"/>
      <charset val="134"/>
    </font>
    <font>
      <sz val="12"/>
      <color theme="1"/>
      <name val="等线"/>
      <charset val="134"/>
    </font>
    <font>
      <sz val="12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color rgb="FF204050"/>
      <name val="宋体"/>
      <charset val="134"/>
    </font>
    <font>
      <sz val="10"/>
      <color rgb="FF10203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6" borderId="11" applyNumberFormat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34" fillId="7" borderId="11" applyNumberFormat="0" applyAlignment="0" applyProtection="0">
      <alignment vertical="center"/>
    </xf>
    <xf numFmtId="0" fontId="35" fillId="8" borderId="13" applyNumberFormat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176" fontId="0" fillId="0" borderId="0">
      <alignment vertical="center"/>
    </xf>
    <xf numFmtId="0" fontId="43" fillId="0" borderId="0">
      <alignment vertical="center"/>
    </xf>
  </cellStyleXfs>
  <cellXfs count="11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9" fontId="2" fillId="0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9" fontId="7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9" fontId="6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77" fontId="5" fillId="2" borderId="1" xfId="0" applyNumberFormat="1" applyFont="1" applyFill="1" applyBorder="1" applyAlignment="1">
      <alignment horizontal="center" vertical="center" wrapText="1"/>
    </xf>
    <xf numFmtId="177" fontId="5" fillId="2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9" fontId="13" fillId="0" borderId="1" xfId="0" applyNumberFormat="1" applyFont="1" applyBorder="1" applyAlignment="1">
      <alignment horizontal="center" vertical="center"/>
    </xf>
    <xf numFmtId="177" fontId="13" fillId="0" borderId="1" xfId="0" applyNumberFormat="1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9" fontId="15" fillId="0" borderId="1" xfId="0" applyNumberFormat="1" applyFont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177" fontId="15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vertical="center" wrapText="1"/>
    </xf>
    <xf numFmtId="0" fontId="16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179" fontId="16" fillId="0" borderId="1" xfId="5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8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177" fontId="5" fillId="0" borderId="0" xfId="0" applyNumberFormat="1" applyFont="1" applyFill="1" applyAlignment="1">
      <alignment vertical="center"/>
    </xf>
    <xf numFmtId="0" fontId="19" fillId="0" borderId="0" xfId="0" applyNumberFormat="1" applyFont="1" applyFill="1" applyBorder="1" applyAlignment="1">
      <alignment horizontal="centerContinuous" vertical="center"/>
    </xf>
    <xf numFmtId="0" fontId="20" fillId="0" borderId="0" xfId="0" applyNumberFormat="1" applyFont="1" applyFill="1" applyBorder="1" applyAlignment="1">
      <alignment horizontal="centerContinuous" vertical="center"/>
    </xf>
    <xf numFmtId="177" fontId="20" fillId="0" borderId="0" xfId="0" applyNumberFormat="1" applyFont="1" applyFill="1" applyBorder="1" applyAlignment="1">
      <alignment horizontal="centerContinuous" vertical="center"/>
    </xf>
    <xf numFmtId="0" fontId="21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NumberFormat="1" applyFont="1" applyFill="1" applyBorder="1" applyAlignment="1">
      <alignment horizontal="right" vertical="center"/>
    </xf>
    <xf numFmtId="180" fontId="5" fillId="2" borderId="5" xfId="0" applyNumberFormat="1" applyFont="1" applyFill="1" applyBorder="1" applyAlignment="1">
      <alignment horizontal="left" vertical="center"/>
    </xf>
    <xf numFmtId="180" fontId="5" fillId="2" borderId="6" xfId="0" applyNumberFormat="1" applyFont="1" applyFill="1" applyBorder="1" applyAlignment="1">
      <alignment horizontal="left" vertical="center"/>
    </xf>
    <xf numFmtId="180" fontId="5" fillId="2" borderId="7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177" fontId="5" fillId="2" borderId="1" xfId="0" applyNumberFormat="1" applyFont="1" applyFill="1" applyBorder="1" applyAlignment="1">
      <alignment vertical="center"/>
    </xf>
    <xf numFmtId="0" fontId="5" fillId="2" borderId="0" xfId="0" applyNumberFormat="1" applyFont="1" applyFill="1" applyAlignment="1"/>
    <xf numFmtId="177" fontId="5" fillId="2" borderId="0" xfId="0" applyNumberFormat="1" applyFont="1" applyFill="1" applyAlignment="1"/>
    <xf numFmtId="0" fontId="5" fillId="2" borderId="0" xfId="0" applyNumberFormat="1" applyFont="1" applyFill="1" applyAlignment="1">
      <alignment horizontal="left"/>
    </xf>
    <xf numFmtId="0" fontId="22" fillId="0" borderId="0" xfId="0" applyNumberFormat="1" applyFont="1" applyFill="1" applyAlignment="1"/>
    <xf numFmtId="0" fontId="23" fillId="0" borderId="0" xfId="0" applyNumberFormat="1" applyFont="1" applyFill="1" applyAlignment="1"/>
    <xf numFmtId="177" fontId="23" fillId="0" borderId="0" xfId="0" applyNumberFormat="1" applyFont="1" applyFill="1" applyAlignment="1"/>
    <xf numFmtId="0" fontId="23" fillId="0" borderId="0" xfId="0" applyNumberFormat="1" applyFont="1" applyFill="1" applyAlignment="1">
      <alignment horizontal="left"/>
    </xf>
    <xf numFmtId="0" fontId="18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horizontal="center" vertical="center"/>
    </xf>
    <xf numFmtId="177" fontId="5" fillId="0" borderId="0" xfId="0" applyNumberFormat="1" applyFont="1" applyFill="1" applyBorder="1" applyAlignment="1">
      <alignment vertical="center"/>
    </xf>
    <xf numFmtId="0" fontId="22" fillId="0" borderId="0" xfId="0" applyFont="1" applyFill="1" applyBorder="1" applyAlignment="1">
      <alignment vertical="center"/>
    </xf>
    <xf numFmtId="0" fontId="23" fillId="0" borderId="0" xfId="0" applyFont="1" applyFill="1" applyBorder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5" xfId="49"/>
    <cellStyle name="常规 31" xfId="50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9525</xdr:colOff>
      <xdr:row>0</xdr:row>
      <xdr:rowOff>9525</xdr:rowOff>
    </xdr:to>
    <xdr:pic>
      <xdr:nvPicPr>
        <xdr:cNvPr id="11" name="Picture 1" descr="sb-1"/>
        <xdr:cNvPicPr>
          <a:picLocks noChangeAspect="1" noChangeArrowheads="1"/>
        </xdr:cNvPicPr>
      </xdr:nvPicPr>
      <xdr:blipFill>
        <a:blip r:embed="rId1" cstate="print">
          <a:lum bright="70000" contrast="-70000"/>
        </a:blip>
        <a:srcRect/>
        <a:stretch>
          <a:fillRect/>
        </a:stretch>
      </xdr:blipFill>
      <xdr:spPr>
        <a:xfrm>
          <a:off x="3192780" y="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0</xdr:row>
      <xdr:rowOff>0</xdr:rowOff>
    </xdr:from>
    <xdr:to>
      <xdr:col>3</xdr:col>
      <xdr:colOff>9525</xdr:colOff>
      <xdr:row>0</xdr:row>
      <xdr:rowOff>9525</xdr:rowOff>
    </xdr:to>
    <xdr:pic>
      <xdr:nvPicPr>
        <xdr:cNvPr id="12" name="Picture 1" descr="sb-1"/>
        <xdr:cNvPicPr>
          <a:picLocks noChangeAspect="1" noChangeArrowheads="1"/>
        </xdr:cNvPicPr>
      </xdr:nvPicPr>
      <xdr:blipFill>
        <a:blip r:embed="rId1" cstate="print">
          <a:lum bright="70000" contrast="-70000"/>
        </a:blip>
        <a:srcRect/>
        <a:stretch>
          <a:fillRect/>
        </a:stretch>
      </xdr:blipFill>
      <xdr:spPr>
        <a:xfrm>
          <a:off x="3192780" y="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0</xdr:row>
      <xdr:rowOff>0</xdr:rowOff>
    </xdr:from>
    <xdr:to>
      <xdr:col>3</xdr:col>
      <xdr:colOff>9525</xdr:colOff>
      <xdr:row>0</xdr:row>
      <xdr:rowOff>9525</xdr:rowOff>
    </xdr:to>
    <xdr:pic>
      <xdr:nvPicPr>
        <xdr:cNvPr id="13" name="Picture 1" descr="sb-1"/>
        <xdr:cNvPicPr>
          <a:picLocks noChangeAspect="1" noChangeArrowheads="1"/>
        </xdr:cNvPicPr>
      </xdr:nvPicPr>
      <xdr:blipFill>
        <a:blip r:embed="rId1" cstate="print">
          <a:lum bright="70000" contrast="-70000"/>
        </a:blip>
        <a:srcRect/>
        <a:stretch>
          <a:fillRect/>
        </a:stretch>
      </xdr:blipFill>
      <xdr:spPr>
        <a:xfrm>
          <a:off x="3192780" y="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0</xdr:row>
      <xdr:rowOff>0</xdr:rowOff>
    </xdr:from>
    <xdr:to>
      <xdr:col>3</xdr:col>
      <xdr:colOff>9525</xdr:colOff>
      <xdr:row>0</xdr:row>
      <xdr:rowOff>9525</xdr:rowOff>
    </xdr:to>
    <xdr:pic>
      <xdr:nvPicPr>
        <xdr:cNvPr id="14" name="Picture 1" descr="sb-1"/>
        <xdr:cNvPicPr>
          <a:picLocks noChangeAspect="1" noChangeArrowheads="1"/>
        </xdr:cNvPicPr>
      </xdr:nvPicPr>
      <xdr:blipFill>
        <a:blip r:embed="rId1" cstate="print">
          <a:lum bright="70000" contrast="-70000"/>
        </a:blip>
        <a:srcRect/>
        <a:stretch>
          <a:fillRect/>
        </a:stretch>
      </xdr:blipFill>
      <xdr:spPr>
        <a:xfrm>
          <a:off x="3192780" y="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0</xdr:row>
      <xdr:rowOff>0</xdr:rowOff>
    </xdr:from>
    <xdr:to>
      <xdr:col>3</xdr:col>
      <xdr:colOff>9525</xdr:colOff>
      <xdr:row>0</xdr:row>
      <xdr:rowOff>9525</xdr:rowOff>
    </xdr:to>
    <xdr:pic>
      <xdr:nvPicPr>
        <xdr:cNvPr id="15" name="Picture 1" descr="sb-1"/>
        <xdr:cNvPicPr>
          <a:picLocks noChangeAspect="1" noChangeArrowheads="1"/>
        </xdr:cNvPicPr>
      </xdr:nvPicPr>
      <xdr:blipFill>
        <a:blip r:embed="rId1" cstate="print">
          <a:lum bright="70000" contrast="-70000"/>
        </a:blip>
        <a:srcRect/>
        <a:stretch>
          <a:fillRect/>
        </a:stretch>
      </xdr:blipFill>
      <xdr:spPr>
        <a:xfrm>
          <a:off x="3192780" y="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0</xdr:row>
      <xdr:rowOff>0</xdr:rowOff>
    </xdr:from>
    <xdr:to>
      <xdr:col>3</xdr:col>
      <xdr:colOff>9525</xdr:colOff>
      <xdr:row>0</xdr:row>
      <xdr:rowOff>9525</xdr:rowOff>
    </xdr:to>
    <xdr:pic>
      <xdr:nvPicPr>
        <xdr:cNvPr id="16" name="Picture 1" descr="sb-1"/>
        <xdr:cNvPicPr>
          <a:picLocks noChangeAspect="1" noChangeArrowheads="1"/>
        </xdr:cNvPicPr>
      </xdr:nvPicPr>
      <xdr:blipFill>
        <a:blip r:embed="rId1" cstate="print">
          <a:lum bright="70000" contrast="-70000"/>
        </a:blip>
        <a:srcRect/>
        <a:stretch>
          <a:fillRect/>
        </a:stretch>
      </xdr:blipFill>
      <xdr:spPr>
        <a:xfrm>
          <a:off x="3192780" y="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0</xdr:row>
      <xdr:rowOff>0</xdr:rowOff>
    </xdr:from>
    <xdr:to>
      <xdr:col>3</xdr:col>
      <xdr:colOff>9525</xdr:colOff>
      <xdr:row>0</xdr:row>
      <xdr:rowOff>9525</xdr:rowOff>
    </xdr:to>
    <xdr:pic>
      <xdr:nvPicPr>
        <xdr:cNvPr id="17" name="Picture 1" descr="sb-1"/>
        <xdr:cNvPicPr>
          <a:picLocks noChangeAspect="1" noChangeArrowheads="1"/>
        </xdr:cNvPicPr>
      </xdr:nvPicPr>
      <xdr:blipFill>
        <a:blip r:embed="rId1" cstate="print">
          <a:lum bright="70000" contrast="-70000"/>
        </a:blip>
        <a:srcRect/>
        <a:stretch>
          <a:fillRect/>
        </a:stretch>
      </xdr:blipFill>
      <xdr:spPr>
        <a:xfrm>
          <a:off x="3192780" y="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0</xdr:row>
      <xdr:rowOff>0</xdr:rowOff>
    </xdr:from>
    <xdr:to>
      <xdr:col>3</xdr:col>
      <xdr:colOff>9525</xdr:colOff>
      <xdr:row>0</xdr:row>
      <xdr:rowOff>9525</xdr:rowOff>
    </xdr:to>
    <xdr:pic>
      <xdr:nvPicPr>
        <xdr:cNvPr id="18" name="Picture 1" descr="sb-1"/>
        <xdr:cNvPicPr>
          <a:picLocks noChangeAspect="1" noChangeArrowheads="1"/>
        </xdr:cNvPicPr>
      </xdr:nvPicPr>
      <xdr:blipFill>
        <a:blip r:embed="rId1" cstate="print">
          <a:lum bright="70000" contrast="-70000"/>
        </a:blip>
        <a:srcRect/>
        <a:stretch>
          <a:fillRect/>
        </a:stretch>
      </xdr:blipFill>
      <xdr:spPr>
        <a:xfrm>
          <a:off x="3192780" y="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0</xdr:row>
      <xdr:rowOff>0</xdr:rowOff>
    </xdr:from>
    <xdr:to>
      <xdr:col>3</xdr:col>
      <xdr:colOff>9525</xdr:colOff>
      <xdr:row>0</xdr:row>
      <xdr:rowOff>9525</xdr:rowOff>
    </xdr:to>
    <xdr:pic>
      <xdr:nvPicPr>
        <xdr:cNvPr id="19" name="Picture 1" descr="sb-1"/>
        <xdr:cNvPicPr>
          <a:picLocks noChangeAspect="1" noChangeArrowheads="1"/>
        </xdr:cNvPicPr>
      </xdr:nvPicPr>
      <xdr:blipFill>
        <a:blip r:embed="rId1" cstate="print">
          <a:lum bright="70000" contrast="-70000"/>
        </a:blip>
        <a:srcRect/>
        <a:stretch>
          <a:fillRect/>
        </a:stretch>
      </xdr:blipFill>
      <xdr:spPr>
        <a:xfrm>
          <a:off x="3192780" y="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0</xdr:row>
      <xdr:rowOff>0</xdr:rowOff>
    </xdr:from>
    <xdr:to>
      <xdr:col>3</xdr:col>
      <xdr:colOff>9525</xdr:colOff>
      <xdr:row>0</xdr:row>
      <xdr:rowOff>9525</xdr:rowOff>
    </xdr:to>
    <xdr:pic>
      <xdr:nvPicPr>
        <xdr:cNvPr id="20" name="Picture 1" descr="sb-1"/>
        <xdr:cNvPicPr>
          <a:picLocks noChangeAspect="1" noChangeArrowheads="1"/>
        </xdr:cNvPicPr>
      </xdr:nvPicPr>
      <xdr:blipFill>
        <a:blip r:embed="rId1" cstate="print">
          <a:lum bright="70000" contrast="-70000"/>
        </a:blip>
        <a:srcRect/>
        <a:stretch>
          <a:fillRect/>
        </a:stretch>
      </xdr:blipFill>
      <xdr:spPr>
        <a:xfrm>
          <a:off x="3192780" y="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0</xdr:row>
      <xdr:rowOff>0</xdr:rowOff>
    </xdr:from>
    <xdr:to>
      <xdr:col>3</xdr:col>
      <xdr:colOff>9525</xdr:colOff>
      <xdr:row>0</xdr:row>
      <xdr:rowOff>9525</xdr:rowOff>
    </xdr:to>
    <xdr:pic>
      <xdr:nvPicPr>
        <xdr:cNvPr id="21" name="Picture 1" descr="sb-1"/>
        <xdr:cNvPicPr>
          <a:picLocks noChangeAspect="1" noChangeArrowheads="1"/>
        </xdr:cNvPicPr>
      </xdr:nvPicPr>
      <xdr:blipFill>
        <a:blip r:embed="rId1" cstate="print">
          <a:lum bright="70000" contrast="-70000"/>
        </a:blip>
        <a:srcRect/>
        <a:stretch>
          <a:fillRect/>
        </a:stretch>
      </xdr:blipFill>
      <xdr:spPr>
        <a:xfrm>
          <a:off x="3192780" y="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0</xdr:row>
      <xdr:rowOff>0</xdr:rowOff>
    </xdr:from>
    <xdr:to>
      <xdr:col>3</xdr:col>
      <xdr:colOff>9525</xdr:colOff>
      <xdr:row>0</xdr:row>
      <xdr:rowOff>9525</xdr:rowOff>
    </xdr:to>
    <xdr:pic>
      <xdr:nvPicPr>
        <xdr:cNvPr id="22" name="Picture 1" descr="sb-1"/>
        <xdr:cNvPicPr>
          <a:picLocks noChangeAspect="1" noChangeArrowheads="1"/>
        </xdr:cNvPicPr>
      </xdr:nvPicPr>
      <xdr:blipFill>
        <a:blip r:embed="rId1" cstate="print">
          <a:lum bright="70000" contrast="-70000"/>
        </a:blip>
        <a:srcRect/>
        <a:stretch>
          <a:fillRect/>
        </a:stretch>
      </xdr:blipFill>
      <xdr:spPr>
        <a:xfrm>
          <a:off x="3192780" y="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0</xdr:row>
      <xdr:rowOff>0</xdr:rowOff>
    </xdr:from>
    <xdr:to>
      <xdr:col>3</xdr:col>
      <xdr:colOff>9525</xdr:colOff>
      <xdr:row>0</xdr:row>
      <xdr:rowOff>9525</xdr:rowOff>
    </xdr:to>
    <xdr:pic>
      <xdr:nvPicPr>
        <xdr:cNvPr id="23" name="Picture 1" descr="sb-1"/>
        <xdr:cNvPicPr>
          <a:picLocks noChangeAspect="1" noChangeArrowheads="1"/>
        </xdr:cNvPicPr>
      </xdr:nvPicPr>
      <xdr:blipFill>
        <a:blip r:embed="rId1" cstate="print">
          <a:lum bright="70000" contrast="-70000"/>
        </a:blip>
        <a:srcRect/>
        <a:stretch>
          <a:fillRect/>
        </a:stretch>
      </xdr:blipFill>
      <xdr:spPr>
        <a:xfrm>
          <a:off x="3192780" y="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0</xdr:row>
      <xdr:rowOff>0</xdr:rowOff>
    </xdr:from>
    <xdr:to>
      <xdr:col>3</xdr:col>
      <xdr:colOff>9525</xdr:colOff>
      <xdr:row>0</xdr:row>
      <xdr:rowOff>9525</xdr:rowOff>
    </xdr:to>
    <xdr:pic>
      <xdr:nvPicPr>
        <xdr:cNvPr id="24" name="Picture 1" descr="sb-1"/>
        <xdr:cNvPicPr>
          <a:picLocks noChangeAspect="1" noChangeArrowheads="1"/>
        </xdr:cNvPicPr>
      </xdr:nvPicPr>
      <xdr:blipFill>
        <a:blip r:embed="rId1" cstate="print">
          <a:lum bright="70000" contrast="-70000"/>
        </a:blip>
        <a:srcRect/>
        <a:stretch>
          <a:fillRect/>
        </a:stretch>
      </xdr:blipFill>
      <xdr:spPr>
        <a:xfrm>
          <a:off x="3192780" y="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0</xdr:row>
      <xdr:rowOff>0</xdr:rowOff>
    </xdr:from>
    <xdr:to>
      <xdr:col>3</xdr:col>
      <xdr:colOff>9525</xdr:colOff>
      <xdr:row>0</xdr:row>
      <xdr:rowOff>9525</xdr:rowOff>
    </xdr:to>
    <xdr:pic>
      <xdr:nvPicPr>
        <xdr:cNvPr id="25" name="Picture 1" descr="sb-1"/>
        <xdr:cNvPicPr>
          <a:picLocks noChangeAspect="1" noChangeArrowheads="1"/>
        </xdr:cNvPicPr>
      </xdr:nvPicPr>
      <xdr:blipFill>
        <a:blip r:embed="rId1" cstate="print">
          <a:lum bright="70000" contrast="-70000"/>
        </a:blip>
        <a:srcRect/>
        <a:stretch>
          <a:fillRect/>
        </a:stretch>
      </xdr:blipFill>
      <xdr:spPr>
        <a:xfrm>
          <a:off x="3192780" y="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0</xdr:row>
      <xdr:rowOff>0</xdr:rowOff>
    </xdr:from>
    <xdr:to>
      <xdr:col>3</xdr:col>
      <xdr:colOff>9525</xdr:colOff>
      <xdr:row>0</xdr:row>
      <xdr:rowOff>9525</xdr:rowOff>
    </xdr:to>
    <xdr:pic>
      <xdr:nvPicPr>
        <xdr:cNvPr id="26" name="Picture 1" descr="sb-1"/>
        <xdr:cNvPicPr>
          <a:picLocks noChangeAspect="1" noChangeArrowheads="1"/>
        </xdr:cNvPicPr>
      </xdr:nvPicPr>
      <xdr:blipFill>
        <a:blip r:embed="rId1" cstate="print">
          <a:lum bright="70000" contrast="-70000"/>
        </a:blip>
        <a:srcRect/>
        <a:stretch>
          <a:fillRect/>
        </a:stretch>
      </xdr:blipFill>
      <xdr:spPr>
        <a:xfrm>
          <a:off x="3192780" y="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zoomScale="70" zoomScaleNormal="70" workbookViewId="0">
      <selection activeCell="A12" sqref="A12"/>
    </sheetView>
  </sheetViews>
  <sheetFormatPr defaultColWidth="8" defaultRowHeight="24.95" customHeight="1"/>
  <cols>
    <col min="1" max="1" width="8.45454545454546" style="81" customWidth="1"/>
    <col min="2" max="2" width="15.6272727272727" style="82" customWidth="1"/>
    <col min="3" max="3" width="21.6272727272727" style="82" customWidth="1"/>
    <col min="4" max="4" width="11.2545454545455" style="83" customWidth="1"/>
    <col min="5" max="5" width="12.5" style="83" customWidth="1"/>
    <col min="6" max="6" width="6.25454545454545" style="83" customWidth="1"/>
    <col min="7" max="7" width="11.1272727272727" style="84" customWidth="1"/>
    <col min="8" max="9" width="5.12727272727273" style="84" customWidth="1"/>
    <col min="10" max="10" width="6.37272727272727" style="85" customWidth="1"/>
    <col min="11" max="11" width="9.75454545454545" style="85" customWidth="1"/>
    <col min="12" max="12" width="75.1272727272727" style="84" customWidth="1"/>
    <col min="13" max="16384" width="8" style="84"/>
  </cols>
  <sheetData>
    <row r="1" ht="35.1" customHeight="1" spans="1:12">
      <c r="A1" s="86" t="s">
        <v>0</v>
      </c>
      <c r="B1" s="87"/>
      <c r="C1" s="87"/>
      <c r="D1" s="87"/>
      <c r="E1" s="87"/>
      <c r="F1" s="87"/>
      <c r="G1" s="87"/>
      <c r="H1" s="87"/>
      <c r="I1" s="87"/>
      <c r="J1" s="88"/>
      <c r="K1" s="88"/>
      <c r="L1" s="87"/>
    </row>
    <row r="2" ht="35.1" customHeight="1" spans="1:12">
      <c r="A2" s="25" t="s">
        <v>1</v>
      </c>
      <c r="B2" s="26" t="s">
        <v>2</v>
      </c>
      <c r="C2" s="26" t="s">
        <v>3</v>
      </c>
      <c r="D2" s="25" t="s">
        <v>4</v>
      </c>
      <c r="E2" s="25" t="s">
        <v>5</v>
      </c>
      <c r="F2" s="26" t="s">
        <v>6</v>
      </c>
      <c r="G2" s="25" t="s">
        <v>7</v>
      </c>
      <c r="H2" s="26" t="s">
        <v>8</v>
      </c>
      <c r="I2" s="26" t="s">
        <v>9</v>
      </c>
      <c r="J2" s="27" t="s">
        <v>10</v>
      </c>
      <c r="K2" s="28" t="s">
        <v>11</v>
      </c>
      <c r="L2" s="26" t="s">
        <v>12</v>
      </c>
    </row>
    <row r="3" ht="35.1" customHeight="1" spans="1:12">
      <c r="A3" s="13">
        <v>1</v>
      </c>
      <c r="B3" s="13" t="s">
        <v>13</v>
      </c>
      <c r="C3" s="89"/>
      <c r="D3" s="13"/>
      <c r="E3" s="13"/>
      <c r="F3" s="13"/>
      <c r="G3" s="13"/>
      <c r="H3" s="13"/>
      <c r="I3" s="13"/>
      <c r="J3" s="15"/>
      <c r="K3" s="15"/>
      <c r="L3" s="25" t="s">
        <v>14</v>
      </c>
    </row>
    <row r="4" ht="35.1" customHeight="1" spans="1:12">
      <c r="A4" s="13"/>
      <c r="B4" s="90" t="s">
        <v>15</v>
      </c>
      <c r="C4" s="91"/>
      <c r="D4" s="92"/>
      <c r="E4" s="92"/>
      <c r="F4" s="92"/>
      <c r="G4" s="93"/>
      <c r="H4" s="13"/>
      <c r="I4" s="13"/>
      <c r="J4" s="15"/>
      <c r="K4" s="15"/>
      <c r="L4" s="25" t="s">
        <v>16</v>
      </c>
    </row>
    <row r="5" ht="35.1" customHeight="1" spans="1:12">
      <c r="A5" s="13"/>
      <c r="B5" s="90" t="s">
        <v>17</v>
      </c>
      <c r="C5" s="91"/>
      <c r="D5" s="92"/>
      <c r="E5" s="92"/>
      <c r="F5" s="92"/>
      <c r="G5" s="93"/>
      <c r="H5" s="13"/>
      <c r="I5" s="13"/>
      <c r="J5" s="15"/>
      <c r="K5" s="15"/>
      <c r="L5" s="25" t="s">
        <v>18</v>
      </c>
    </row>
    <row r="6" ht="35.1" customHeight="1" spans="1:12">
      <c r="A6" s="13"/>
      <c r="B6" s="90" t="s">
        <v>19</v>
      </c>
      <c r="C6" s="91"/>
      <c r="D6" s="92"/>
      <c r="E6" s="92"/>
      <c r="F6" s="92"/>
      <c r="G6" s="93"/>
      <c r="H6" s="13"/>
      <c r="I6" s="13"/>
      <c r="J6" s="15"/>
      <c r="K6" s="15"/>
      <c r="L6" s="25" t="s">
        <v>20</v>
      </c>
    </row>
    <row r="7" ht="35.1" customHeight="1" spans="1:12">
      <c r="A7" s="13"/>
      <c r="B7" s="13" t="s">
        <v>21</v>
      </c>
      <c r="C7" s="94"/>
      <c r="D7" s="95"/>
      <c r="E7" s="95"/>
      <c r="F7" s="95"/>
      <c r="G7" s="96"/>
      <c r="H7" s="13"/>
      <c r="I7" s="13"/>
      <c r="J7" s="15"/>
      <c r="K7" s="15"/>
      <c r="L7" s="97" t="s">
        <v>22</v>
      </c>
    </row>
    <row r="8" ht="35.1" customHeight="1" spans="1:12">
      <c r="A8" s="13"/>
      <c r="B8" s="13" t="s">
        <v>23</v>
      </c>
      <c r="C8" s="91"/>
      <c r="D8" s="92"/>
      <c r="E8" s="92"/>
      <c r="F8" s="92"/>
      <c r="G8" s="93"/>
      <c r="H8" s="13"/>
      <c r="I8" s="13"/>
      <c r="J8" s="15"/>
      <c r="K8" s="15"/>
      <c r="L8" s="25" t="s">
        <v>24</v>
      </c>
    </row>
    <row r="9" ht="35.1" customHeight="1" spans="1:12">
      <c r="A9" s="98" t="s">
        <v>25</v>
      </c>
      <c r="B9" s="99"/>
      <c r="C9" s="100"/>
      <c r="D9" s="100"/>
      <c r="E9" s="100"/>
      <c r="F9" s="100"/>
      <c r="G9" s="101"/>
      <c r="H9" s="102"/>
      <c r="I9" s="102"/>
      <c r="J9" s="103"/>
      <c r="K9" s="103">
        <f>SUM(K3:K8)</f>
        <v>0</v>
      </c>
      <c r="L9" s="102"/>
    </row>
    <row r="10" ht="21" customHeight="1" spans="1:12">
      <c r="A10" s="104"/>
      <c r="B10" s="104"/>
      <c r="C10" s="104"/>
      <c r="D10" s="104"/>
      <c r="E10" s="104"/>
      <c r="F10" s="104"/>
      <c r="G10" s="104"/>
      <c r="H10" s="104"/>
      <c r="I10" s="104"/>
      <c r="J10" s="105"/>
      <c r="K10" s="105"/>
      <c r="L10" s="106"/>
    </row>
    <row r="11" ht="15.5" spans="1:12">
      <c r="A11" s="107"/>
      <c r="B11" s="108"/>
      <c r="C11" s="108"/>
      <c r="D11" s="108"/>
      <c r="E11" s="108"/>
      <c r="F11" s="108"/>
      <c r="G11" s="108"/>
      <c r="H11" s="108"/>
      <c r="I11" s="108"/>
      <c r="J11" s="109"/>
      <c r="K11" s="109"/>
      <c r="L11" s="110"/>
    </row>
    <row r="12" ht="15.5" spans="1:12">
      <c r="A12" s="107"/>
      <c r="B12" s="108"/>
      <c r="C12" s="108"/>
      <c r="D12" s="108"/>
      <c r="E12" s="108"/>
      <c r="F12" s="108"/>
      <c r="G12" s="108"/>
      <c r="H12" s="108"/>
      <c r="I12" s="108"/>
      <c r="J12" s="109"/>
      <c r="K12" s="109"/>
      <c r="L12" s="110"/>
    </row>
    <row r="13" ht="15.5" spans="1:12">
      <c r="A13" s="107"/>
      <c r="B13" s="108"/>
      <c r="C13" s="108"/>
      <c r="D13" s="108"/>
      <c r="E13" s="108"/>
      <c r="F13" s="108"/>
      <c r="G13" s="108"/>
      <c r="H13" s="108"/>
      <c r="I13" s="108"/>
      <c r="J13" s="109"/>
      <c r="K13" s="109"/>
      <c r="L13" s="110"/>
    </row>
    <row r="14" ht="15.5" spans="1:12">
      <c r="A14" s="107"/>
      <c r="B14" s="108"/>
      <c r="C14" s="108"/>
      <c r="D14" s="108"/>
      <c r="E14" s="108"/>
      <c r="F14" s="108"/>
      <c r="G14" s="108"/>
      <c r="H14" s="108"/>
      <c r="I14" s="108"/>
      <c r="J14" s="109"/>
      <c r="K14" s="109"/>
      <c r="L14" s="110"/>
    </row>
    <row r="15" ht="15.5" spans="1:12">
      <c r="A15" s="107"/>
      <c r="B15" s="108"/>
      <c r="C15" s="108"/>
      <c r="D15" s="108"/>
      <c r="E15" s="108"/>
      <c r="F15" s="108"/>
      <c r="G15" s="108"/>
      <c r="H15" s="108"/>
      <c r="I15" s="108"/>
      <c r="J15" s="109"/>
      <c r="K15" s="109"/>
      <c r="L15" s="110"/>
    </row>
    <row r="16" ht="15.5" spans="1:12">
      <c r="A16" s="107"/>
      <c r="B16" s="108"/>
      <c r="C16" s="108"/>
      <c r="D16" s="108"/>
      <c r="E16" s="108"/>
      <c r="F16" s="108"/>
      <c r="G16" s="108"/>
      <c r="H16" s="108"/>
      <c r="I16" s="108"/>
      <c r="J16" s="109"/>
      <c r="K16" s="109"/>
      <c r="L16" s="110"/>
    </row>
    <row r="17" ht="15.5" spans="1:12">
      <c r="A17" s="107"/>
      <c r="B17" s="108"/>
      <c r="C17" s="108"/>
      <c r="D17" s="108"/>
      <c r="E17" s="108"/>
      <c r="F17" s="108"/>
      <c r="G17" s="108"/>
      <c r="H17" s="108"/>
      <c r="I17" s="108"/>
      <c r="J17" s="109"/>
      <c r="K17" s="109"/>
      <c r="L17" s="110"/>
    </row>
    <row r="18" ht="14" spans="1:12">
      <c r="A18" s="111"/>
      <c r="B18" s="112"/>
      <c r="C18" s="112"/>
      <c r="D18" s="113"/>
      <c r="J18" s="114"/>
      <c r="K18" s="114"/>
    </row>
    <row r="19" ht="14" spans="1:12">
      <c r="A19" s="111"/>
      <c r="B19" s="112"/>
      <c r="C19" s="112"/>
      <c r="D19" s="113"/>
      <c r="J19" s="114"/>
      <c r="K19" s="114"/>
    </row>
    <row r="20" ht="14" spans="1:12">
      <c r="A20" s="111"/>
      <c r="B20" s="112"/>
      <c r="C20" s="112"/>
      <c r="D20" s="113"/>
      <c r="J20" s="114"/>
      <c r="K20" s="114"/>
    </row>
    <row r="21" ht="14" spans="1:12">
      <c r="A21" s="111"/>
      <c r="B21" s="112"/>
      <c r="C21" s="112"/>
      <c r="D21" s="113"/>
      <c r="J21" s="114"/>
      <c r="K21" s="114"/>
    </row>
    <row r="22" ht="14" spans="1:12">
      <c r="A22" s="111"/>
      <c r="B22" s="112"/>
      <c r="C22" s="112"/>
      <c r="D22" s="113"/>
      <c r="J22" s="114"/>
      <c r="K22" s="114"/>
    </row>
    <row r="23" customHeight="1" spans="1:12">
      <c r="A23" s="111"/>
      <c r="B23" s="112"/>
      <c r="C23" s="112"/>
      <c r="D23" s="113"/>
      <c r="J23" s="114"/>
      <c r="K23" s="114"/>
    </row>
    <row r="24" customHeight="1" spans="1:12">
      <c r="A24" s="111"/>
      <c r="B24" s="112"/>
      <c r="C24" s="112"/>
      <c r="D24" s="113"/>
      <c r="E24" s="113"/>
      <c r="F24" s="113"/>
      <c r="J24" s="114"/>
      <c r="K24" s="114"/>
    </row>
    <row r="25" customHeight="1" spans="1:12">
      <c r="A25" s="115"/>
      <c r="B25" s="116"/>
      <c r="C25" s="116"/>
      <c r="J25" s="114"/>
      <c r="K25" s="114"/>
    </row>
    <row r="26" customHeight="1" spans="1:12">
      <c r="H26" s="84">
        <f>SUBTOTAL(9,H3:H7)</f>
        <v>0</v>
      </c>
    </row>
  </sheetData>
  <mergeCells count="7">
    <mergeCell ref="C4:G4"/>
    <mergeCell ref="C5:G5"/>
    <mergeCell ref="C6:G6"/>
    <mergeCell ref="C7:G7"/>
    <mergeCell ref="C8:G8"/>
    <mergeCell ref="B9:G9"/>
    <mergeCell ref="A3:A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18"/>
  <sheetViews>
    <sheetView showZeros="0" tabSelected="1" zoomScale="85" zoomScaleNormal="85" workbookViewId="0">
      <selection activeCell="E5" sqref="E5"/>
    </sheetView>
  </sheetViews>
  <sheetFormatPr defaultColWidth="8.72727272727273" defaultRowHeight="14"/>
  <cols>
    <col min="1" max="1" width="8.72727272727273" style="23"/>
    <col min="2" max="2" width="25.3636363636364" style="23" customWidth="1"/>
    <col min="3" max="3" width="10.6363636363636" style="23" customWidth="1"/>
    <col min="4" max="12" width="8.72727272727273" style="23"/>
    <col min="13" max="13" width="50.7272727272727" style="24" customWidth="1"/>
    <col min="14" max="16384" width="8.72727272727273" style="23"/>
  </cols>
  <sheetData>
    <row r="1" ht="26" spans="1:13">
      <c r="A1" s="25" t="s">
        <v>1</v>
      </c>
      <c r="B1" s="26" t="s">
        <v>2</v>
      </c>
      <c r="C1" s="26" t="s">
        <v>3</v>
      </c>
      <c r="D1" s="25" t="s">
        <v>4</v>
      </c>
      <c r="E1" s="25" t="s">
        <v>5</v>
      </c>
      <c r="F1" s="26" t="s">
        <v>6</v>
      </c>
      <c r="G1" s="25" t="s">
        <v>7</v>
      </c>
      <c r="H1" s="26" t="s">
        <v>8</v>
      </c>
      <c r="I1" s="26" t="s">
        <v>9</v>
      </c>
      <c r="J1" s="27" t="s">
        <v>10</v>
      </c>
      <c r="K1" s="28" t="s">
        <v>11</v>
      </c>
      <c r="L1" s="28" t="s">
        <v>26</v>
      </c>
      <c r="M1" s="25" t="s">
        <v>12</v>
      </c>
    </row>
    <row r="2" ht="28" spans="1:13">
      <c r="A2" s="54" cm="1">
        <f t="array" ref="A2:M618">_xlfn._xlws.FILTER(_xlfn.VSTACK(龙旗科技:张江高科站!A2:M226),_xlfn.VSTACK(龙旗科技:张江高科站!B2:B226)&lt;&gt;0)</f>
        <v>1</v>
      </c>
      <c r="B2" s="54" t="str">
        <v>B1柴发集水井潜污泵</v>
      </c>
      <c r="C2" s="54" t="str">
        <v>50WQ11103</v>
      </c>
      <c r="D2" s="54">
        <v>20</v>
      </c>
      <c r="E2" s="54">
        <v>18</v>
      </c>
      <c r="F2" s="54">
        <v>2840</v>
      </c>
      <c r="G2" s="54">
        <v>2.2</v>
      </c>
      <c r="H2" s="54">
        <v>2</v>
      </c>
      <c r="I2" s="54">
        <v>0.13</v>
      </c>
      <c r="J2" s="54">
        <v>1650</v>
      </c>
      <c r="K2" s="54">
        <v>3300</v>
      </c>
      <c r="L2" s="54" t="str">
        <v>东方</v>
      </c>
      <c r="M2" s="80" t="str">
        <v>2025.7.15，货到现场1个月付至到货金额95%，供货完成提供5%两年银行质保函</v>
      </c>
    </row>
    <row r="3" ht="28" spans="1:13">
      <c r="A3" s="54">
        <v>0</v>
      </c>
      <c r="B3" s="54" t="str">
        <v>自耦</v>
      </c>
      <c r="C3" s="54" t="str">
        <v>GAK50</v>
      </c>
      <c r="D3" s="54">
        <v>0</v>
      </c>
      <c r="E3" s="54">
        <v>0</v>
      </c>
      <c r="F3" s="54">
        <v>0</v>
      </c>
      <c r="G3" s="54">
        <v>0</v>
      </c>
      <c r="H3" s="54">
        <v>2</v>
      </c>
      <c r="I3" s="54">
        <v>0.13</v>
      </c>
      <c r="J3" s="54">
        <v>400</v>
      </c>
      <c r="K3" s="54">
        <v>800</v>
      </c>
      <c r="L3" s="54" t="str">
        <v>东方</v>
      </c>
      <c r="M3" s="80" t="str">
        <v>2025.7.15，货到现场1个月付至到货金额95%，供货完成提供5%两年银行质保函</v>
      </c>
    </row>
    <row r="4" ht="28" spans="1:13">
      <c r="A4" s="54">
        <v>0</v>
      </c>
      <c r="B4" s="54" t="str">
        <v>导杆</v>
      </c>
      <c r="C4" s="54" t="str">
        <v>32*1.2</v>
      </c>
      <c r="D4" s="54">
        <v>0</v>
      </c>
      <c r="E4" s="54">
        <v>0</v>
      </c>
      <c r="F4" s="54">
        <v>0</v>
      </c>
      <c r="G4" s="54">
        <v>0</v>
      </c>
      <c r="H4" s="54">
        <v>2</v>
      </c>
      <c r="I4" s="54">
        <v>0.13</v>
      </c>
      <c r="J4" s="54">
        <v>190</v>
      </c>
      <c r="K4" s="54">
        <v>380</v>
      </c>
      <c r="L4" s="54" t="str">
        <v>东方</v>
      </c>
      <c r="M4" s="80" t="str">
        <v>2025.7.15，货到现场1个月付至到货金额95%，供货完成提供5%两年银行质保函</v>
      </c>
    </row>
    <row r="5" ht="28" spans="1:13">
      <c r="A5" s="54">
        <v>0</v>
      </c>
      <c r="B5" s="54" t="str">
        <v>链条</v>
      </c>
      <c r="C5" s="54" t="str">
        <v>6mm</v>
      </c>
      <c r="D5" s="54">
        <v>0</v>
      </c>
      <c r="E5" s="54">
        <v>0</v>
      </c>
      <c r="F5" s="54">
        <v>0</v>
      </c>
      <c r="G5" s="54">
        <v>0</v>
      </c>
      <c r="H5" s="54">
        <v>2</v>
      </c>
      <c r="I5" s="54">
        <v>0.13</v>
      </c>
      <c r="J5" s="54">
        <v>60</v>
      </c>
      <c r="K5" s="54">
        <v>120</v>
      </c>
      <c r="L5" s="54" t="str">
        <v>东方</v>
      </c>
      <c r="M5" s="80" t="str">
        <v>2025.7.15，货到现场1个月付至到货金额95%，供货完成提供5%两年银行质保函</v>
      </c>
    </row>
    <row r="6" ht="28" spans="1:13">
      <c r="A6" s="54">
        <v>0</v>
      </c>
      <c r="B6" s="54" t="str">
        <v>浮球</v>
      </c>
      <c r="C6" s="54" t="str">
        <v>/</v>
      </c>
      <c r="D6" s="54">
        <v>0</v>
      </c>
      <c r="E6" s="54">
        <v>0</v>
      </c>
      <c r="F6" s="54">
        <v>0</v>
      </c>
      <c r="G6" s="54">
        <v>0</v>
      </c>
      <c r="H6" s="54">
        <v>2</v>
      </c>
      <c r="I6" s="54">
        <v>0.13</v>
      </c>
      <c r="J6" s="54">
        <v>70</v>
      </c>
      <c r="K6" s="54">
        <v>140</v>
      </c>
      <c r="L6" s="54" t="str">
        <v>东方</v>
      </c>
      <c r="M6" s="80" t="str">
        <v>2025.7.15，货到现场1个月付至到货金额95%，供货完成提供5%两年银行质保函</v>
      </c>
    </row>
    <row r="7" ht="28" spans="1:13">
      <c r="A7" s="54">
        <v>2</v>
      </c>
      <c r="B7" s="54" t="str">
        <v>B1备用机房集水井排水泵</v>
      </c>
      <c r="C7" s="54" t="str">
        <v>50WQ11101</v>
      </c>
      <c r="D7" s="54">
        <v>10</v>
      </c>
      <c r="E7" s="54">
        <v>18</v>
      </c>
      <c r="F7" s="54">
        <v>2840</v>
      </c>
      <c r="G7" s="54">
        <v>1.5</v>
      </c>
      <c r="H7" s="54">
        <v>1</v>
      </c>
      <c r="I7" s="54">
        <v>0.13</v>
      </c>
      <c r="J7" s="54">
        <v>1520</v>
      </c>
      <c r="K7" s="54">
        <v>1520</v>
      </c>
      <c r="L7" s="54" t="str">
        <v>东方</v>
      </c>
      <c r="M7" s="80" t="str">
        <v>2025.7.15，货到现场1个月付至到货金额95%，供货完成提供5%两年银行质保函</v>
      </c>
    </row>
    <row r="8" ht="28" spans="1:13">
      <c r="A8" s="54">
        <v>0</v>
      </c>
      <c r="B8" s="54" t="str">
        <v>自耦</v>
      </c>
      <c r="C8" s="54" t="str">
        <v>GAK50</v>
      </c>
      <c r="D8" s="54">
        <v>0</v>
      </c>
      <c r="E8" s="54">
        <v>0</v>
      </c>
      <c r="F8" s="54">
        <v>0</v>
      </c>
      <c r="G8" s="54">
        <v>0</v>
      </c>
      <c r="H8" s="54">
        <v>1</v>
      </c>
      <c r="I8" s="54">
        <v>0.13</v>
      </c>
      <c r="J8" s="54">
        <v>400</v>
      </c>
      <c r="K8" s="54">
        <v>400</v>
      </c>
      <c r="L8" s="54" t="str">
        <v>东方</v>
      </c>
      <c r="M8" s="80" t="str">
        <v>2025.7.15，货到现场1个月付至到货金额95%，供货完成提供5%两年银行质保函</v>
      </c>
    </row>
    <row r="9" ht="28" spans="1:13">
      <c r="A9" s="54">
        <v>0</v>
      </c>
      <c r="B9" s="54" t="str">
        <v>导杆</v>
      </c>
      <c r="C9" s="54" t="str">
        <v>32*1.2</v>
      </c>
      <c r="D9" s="54">
        <v>0</v>
      </c>
      <c r="E9" s="54">
        <v>0</v>
      </c>
      <c r="F9" s="54">
        <v>0</v>
      </c>
      <c r="G9" s="54">
        <v>0</v>
      </c>
      <c r="H9" s="54">
        <v>1</v>
      </c>
      <c r="I9" s="54">
        <v>0.13</v>
      </c>
      <c r="J9" s="54">
        <v>190</v>
      </c>
      <c r="K9" s="54">
        <v>190</v>
      </c>
      <c r="L9" s="54" t="str">
        <v>东方</v>
      </c>
      <c r="M9" s="80" t="str">
        <v>2025.7.15，货到现场1个月付至到货金额95%，供货完成提供5%两年银行质保函</v>
      </c>
    </row>
    <row r="10" ht="28" spans="1:13">
      <c r="A10" s="54">
        <v>0</v>
      </c>
      <c r="B10" s="54" t="str">
        <v>链条</v>
      </c>
      <c r="C10" s="54" t="str">
        <v>6mm</v>
      </c>
      <c r="D10" s="54">
        <v>0</v>
      </c>
      <c r="E10" s="54">
        <v>0</v>
      </c>
      <c r="F10" s="54">
        <v>0</v>
      </c>
      <c r="G10" s="54">
        <v>0</v>
      </c>
      <c r="H10" s="54">
        <v>1</v>
      </c>
      <c r="I10" s="54">
        <v>0.13</v>
      </c>
      <c r="J10" s="54">
        <v>60</v>
      </c>
      <c r="K10" s="54">
        <v>60</v>
      </c>
      <c r="L10" s="54" t="str">
        <v>东方</v>
      </c>
      <c r="M10" s="80" t="str">
        <v>2025.7.15，货到现场1个月付至到货金额95%，供货完成提供5%两年银行质保函</v>
      </c>
    </row>
    <row r="11" ht="28" spans="1:13">
      <c r="A11" s="54">
        <v>0</v>
      </c>
      <c r="B11" s="54" t="str">
        <v>浮球</v>
      </c>
      <c r="C11" s="54" t="str">
        <v>/</v>
      </c>
      <c r="D11" s="54">
        <v>0</v>
      </c>
      <c r="E11" s="54">
        <v>0</v>
      </c>
      <c r="F11" s="54">
        <v>0</v>
      </c>
      <c r="G11" s="54">
        <v>0</v>
      </c>
      <c r="H11" s="54">
        <v>1</v>
      </c>
      <c r="I11" s="54">
        <v>0.13</v>
      </c>
      <c r="J11" s="54">
        <v>70</v>
      </c>
      <c r="K11" s="54">
        <v>70</v>
      </c>
      <c r="L11" s="54" t="str">
        <v>东方</v>
      </c>
      <c r="M11" s="80" t="str">
        <v>2025.7.15，货到现场1个月付至到货金额95%，供货完成提供5%两年银行质保函</v>
      </c>
    </row>
    <row r="12" ht="28" spans="1:13">
      <c r="A12" s="54">
        <v>3</v>
      </c>
      <c r="B12" s="54" t="str">
        <v>B1锅炉房集水井排水泵</v>
      </c>
      <c r="C12" s="54" t="str">
        <v>50WQ11123</v>
      </c>
      <c r="D12" s="54">
        <v>25</v>
      </c>
      <c r="E12" s="54">
        <v>15</v>
      </c>
      <c r="F12" s="54">
        <v>2840</v>
      </c>
      <c r="G12" s="54">
        <v>2.2</v>
      </c>
      <c r="H12" s="54">
        <v>3</v>
      </c>
      <c r="I12" s="54">
        <v>0.13</v>
      </c>
      <c r="J12" s="54">
        <v>1650</v>
      </c>
      <c r="K12" s="54">
        <v>4950</v>
      </c>
      <c r="L12" s="54" t="str">
        <v>东方</v>
      </c>
      <c r="M12" s="80" t="str">
        <v>2025.7.15，货到现场1个月付至到货金额95%，供货完成提供5%两年银行质保函</v>
      </c>
    </row>
    <row r="13" ht="28" spans="1:13">
      <c r="A13" s="54">
        <v>0</v>
      </c>
      <c r="B13" s="54" t="str">
        <v>自耦</v>
      </c>
      <c r="C13" s="54" t="str">
        <v>GAK50</v>
      </c>
      <c r="D13" s="54">
        <v>0</v>
      </c>
      <c r="E13" s="54">
        <v>0</v>
      </c>
      <c r="F13" s="54">
        <v>0</v>
      </c>
      <c r="G13" s="54">
        <v>0</v>
      </c>
      <c r="H13" s="54">
        <v>3</v>
      </c>
      <c r="I13" s="54">
        <v>0.13</v>
      </c>
      <c r="J13" s="54">
        <v>400</v>
      </c>
      <c r="K13" s="54">
        <v>1200</v>
      </c>
      <c r="L13" s="54" t="str">
        <v>东方</v>
      </c>
      <c r="M13" s="80" t="str">
        <v>2025.7.15，货到现场1个月付至到货金额95%，供货完成提供5%两年银行质保函</v>
      </c>
    </row>
    <row r="14" ht="28" spans="1:13">
      <c r="A14" s="54">
        <v>0</v>
      </c>
      <c r="B14" s="54" t="str">
        <v>导杆</v>
      </c>
      <c r="C14" s="54" t="str">
        <v>32*1.2</v>
      </c>
      <c r="D14" s="54">
        <v>0</v>
      </c>
      <c r="E14" s="54">
        <v>0</v>
      </c>
      <c r="F14" s="54">
        <v>0</v>
      </c>
      <c r="G14" s="54">
        <v>0</v>
      </c>
      <c r="H14" s="54">
        <v>3</v>
      </c>
      <c r="I14" s="54">
        <v>0.13</v>
      </c>
      <c r="J14" s="54">
        <v>190</v>
      </c>
      <c r="K14" s="54">
        <v>570</v>
      </c>
      <c r="L14" s="54" t="str">
        <v>东方</v>
      </c>
      <c r="M14" s="80" t="str">
        <v>2025.7.15，货到现场1个月付至到货金额95%，供货完成提供5%两年银行质保函</v>
      </c>
    </row>
    <row r="15" ht="28" spans="1:13">
      <c r="A15" s="54">
        <v>0</v>
      </c>
      <c r="B15" s="54" t="str">
        <v>链条</v>
      </c>
      <c r="C15" s="54" t="str">
        <v>6mm</v>
      </c>
      <c r="D15" s="54">
        <v>0</v>
      </c>
      <c r="E15" s="54">
        <v>0</v>
      </c>
      <c r="F15" s="54">
        <v>0</v>
      </c>
      <c r="G15" s="54">
        <v>0</v>
      </c>
      <c r="H15" s="54">
        <v>3</v>
      </c>
      <c r="I15" s="54">
        <v>0.13</v>
      </c>
      <c r="J15" s="54">
        <v>60</v>
      </c>
      <c r="K15" s="54">
        <v>180</v>
      </c>
      <c r="L15" s="54" t="str">
        <v>东方</v>
      </c>
      <c r="M15" s="80" t="str">
        <v>2025.7.15，货到现场1个月付至到货金额95%，供货完成提供5%两年银行质保函</v>
      </c>
    </row>
    <row r="16" ht="28" spans="1:13">
      <c r="A16" s="54">
        <v>0</v>
      </c>
      <c r="B16" s="54" t="str">
        <v>浮球</v>
      </c>
      <c r="C16" s="54" t="str">
        <v>/</v>
      </c>
      <c r="D16" s="54">
        <v>0</v>
      </c>
      <c r="E16" s="54">
        <v>0</v>
      </c>
      <c r="F16" s="54">
        <v>0</v>
      </c>
      <c r="G16" s="54">
        <v>0</v>
      </c>
      <c r="H16" s="54">
        <v>3</v>
      </c>
      <c r="I16" s="54">
        <v>0.13</v>
      </c>
      <c r="J16" s="54">
        <v>70</v>
      </c>
      <c r="K16" s="54">
        <v>210</v>
      </c>
      <c r="L16" s="54" t="str">
        <v>东方</v>
      </c>
      <c r="M16" s="80" t="str">
        <v>2025.7.15，货到现场1个月付至到货金额95%，供货完成提供5%两年银行质保函</v>
      </c>
    </row>
    <row r="17" ht="28" spans="1:13">
      <c r="A17" s="54">
        <v>4</v>
      </c>
      <c r="B17" s="54" t="str">
        <v>B1锅炉水泵房集水井排水泵</v>
      </c>
      <c r="C17" s="54" t="str">
        <v>50WQ11103</v>
      </c>
      <c r="D17" s="54">
        <v>20</v>
      </c>
      <c r="E17" s="54">
        <v>18</v>
      </c>
      <c r="F17" s="54">
        <v>2840</v>
      </c>
      <c r="G17" s="54">
        <v>2.2</v>
      </c>
      <c r="H17" s="54">
        <v>2</v>
      </c>
      <c r="I17" s="54">
        <v>0.13</v>
      </c>
      <c r="J17" s="54">
        <v>1650</v>
      </c>
      <c r="K17" s="54">
        <v>3300</v>
      </c>
      <c r="L17" s="54" t="str">
        <v>东方</v>
      </c>
      <c r="M17" s="80" t="str">
        <v>2025.7.15，货到现场1个月付至到货金额95%，供货完成提供5%两年银行质保函</v>
      </c>
    </row>
    <row r="18" ht="28" spans="1:13">
      <c r="A18" s="54">
        <v>0</v>
      </c>
      <c r="B18" s="54" t="str">
        <v>自耦</v>
      </c>
      <c r="C18" s="54" t="str">
        <v>GAK50</v>
      </c>
      <c r="D18" s="54">
        <v>0</v>
      </c>
      <c r="E18" s="54">
        <v>0</v>
      </c>
      <c r="F18" s="54">
        <v>0</v>
      </c>
      <c r="G18" s="54">
        <v>0</v>
      </c>
      <c r="H18" s="54">
        <v>2</v>
      </c>
      <c r="I18" s="54">
        <v>0.13</v>
      </c>
      <c r="J18" s="54">
        <v>400</v>
      </c>
      <c r="K18" s="54">
        <v>800</v>
      </c>
      <c r="L18" s="54" t="str">
        <v>东方</v>
      </c>
      <c r="M18" s="80" t="str">
        <v>2025.7.15，货到现场1个月付至到货金额95%，供货完成提供5%两年银行质保函</v>
      </c>
    </row>
    <row r="19" ht="28" spans="1:13">
      <c r="A19" s="54">
        <v>0</v>
      </c>
      <c r="B19" s="54" t="str">
        <v>导杆</v>
      </c>
      <c r="C19" s="54" t="str">
        <v>32*1.2</v>
      </c>
      <c r="D19" s="54">
        <v>0</v>
      </c>
      <c r="E19" s="54">
        <v>0</v>
      </c>
      <c r="F19" s="54">
        <v>0</v>
      </c>
      <c r="G19" s="54">
        <v>0</v>
      </c>
      <c r="H19" s="54">
        <v>2</v>
      </c>
      <c r="I19" s="54">
        <v>0.13</v>
      </c>
      <c r="J19" s="54">
        <v>190</v>
      </c>
      <c r="K19" s="54">
        <v>380</v>
      </c>
      <c r="L19" s="54" t="str">
        <v>东方</v>
      </c>
      <c r="M19" s="80" t="str">
        <v>2025.7.15，货到现场1个月付至到货金额95%，供货完成提供5%两年银行质保函</v>
      </c>
    </row>
    <row r="20" ht="28" spans="1:13">
      <c r="A20" s="54">
        <v>0</v>
      </c>
      <c r="B20" s="54" t="str">
        <v>链条</v>
      </c>
      <c r="C20" s="54" t="str">
        <v>6mm</v>
      </c>
      <c r="D20" s="54">
        <v>0</v>
      </c>
      <c r="E20" s="54">
        <v>0</v>
      </c>
      <c r="F20" s="54">
        <v>0</v>
      </c>
      <c r="G20" s="54">
        <v>0</v>
      </c>
      <c r="H20" s="54">
        <v>2</v>
      </c>
      <c r="I20" s="54">
        <v>0.13</v>
      </c>
      <c r="J20" s="54">
        <v>60</v>
      </c>
      <c r="K20" s="54">
        <v>120</v>
      </c>
      <c r="L20" s="54" t="str">
        <v>东方</v>
      </c>
      <c r="M20" s="80" t="str">
        <v>2025.7.15，货到现场1个月付至到货金额95%，供货完成提供5%两年银行质保函</v>
      </c>
    </row>
    <row r="21" ht="28" spans="1:13">
      <c r="A21" s="54">
        <v>0</v>
      </c>
      <c r="B21" s="54" t="str">
        <v>浮球</v>
      </c>
      <c r="C21" s="54" t="str">
        <v>/</v>
      </c>
      <c r="D21" s="54">
        <v>0</v>
      </c>
      <c r="E21" s="54">
        <v>0</v>
      </c>
      <c r="F21" s="54">
        <v>0</v>
      </c>
      <c r="G21" s="54">
        <v>0</v>
      </c>
      <c r="H21" s="54">
        <v>2</v>
      </c>
      <c r="I21" s="54">
        <v>0.13</v>
      </c>
      <c r="J21" s="54">
        <v>70</v>
      </c>
      <c r="K21" s="54">
        <v>140</v>
      </c>
      <c r="L21" s="54" t="str">
        <v>东方</v>
      </c>
      <c r="M21" s="80" t="str">
        <v>2025.7.15，货到现场1个月付至到货金额95%，供货完成提供5%两年银行质保函</v>
      </c>
    </row>
    <row r="22" ht="28" spans="1:13">
      <c r="A22" s="54">
        <v>5</v>
      </c>
      <c r="B22" s="54" t="str">
        <v>B1消防泵集水井排水泵</v>
      </c>
      <c r="C22" s="54" t="str">
        <v>50WQ11123</v>
      </c>
      <c r="D22" s="54">
        <v>25</v>
      </c>
      <c r="E22" s="54">
        <v>15</v>
      </c>
      <c r="F22" s="54">
        <v>2840</v>
      </c>
      <c r="G22" s="54">
        <v>2.2</v>
      </c>
      <c r="H22" s="54">
        <v>3</v>
      </c>
      <c r="I22" s="54">
        <v>0.13</v>
      </c>
      <c r="J22" s="54">
        <v>1650</v>
      </c>
      <c r="K22" s="54">
        <v>4950</v>
      </c>
      <c r="L22" s="54" t="str">
        <v>东方</v>
      </c>
      <c r="M22" s="80" t="str">
        <v>2025.7.15，货到现场1个月付至到货金额95%，供货完成提供5%两年银行质保函</v>
      </c>
    </row>
    <row r="23" ht="28" spans="1:13">
      <c r="A23" s="54">
        <v>0</v>
      </c>
      <c r="B23" s="54" t="str">
        <v>自耦</v>
      </c>
      <c r="C23" s="54" t="str">
        <v>GAK50</v>
      </c>
      <c r="D23" s="54">
        <v>0</v>
      </c>
      <c r="E23" s="54">
        <v>0</v>
      </c>
      <c r="F23" s="54">
        <v>0</v>
      </c>
      <c r="G23" s="54">
        <v>0</v>
      </c>
      <c r="H23" s="54">
        <v>3</v>
      </c>
      <c r="I23" s="54">
        <v>0.13</v>
      </c>
      <c r="J23" s="54">
        <v>400</v>
      </c>
      <c r="K23" s="54">
        <v>1200</v>
      </c>
      <c r="L23" s="54" t="str">
        <v>东方</v>
      </c>
      <c r="M23" s="80" t="str">
        <v>2025.7.15，货到现场1个月付至到货金额95%，供货完成提供5%两年银行质保函</v>
      </c>
    </row>
    <row r="24" ht="28" spans="1:13">
      <c r="A24" s="54">
        <v>0</v>
      </c>
      <c r="B24" s="54" t="str">
        <v>导杆</v>
      </c>
      <c r="C24" s="54" t="str">
        <v>32*1.2</v>
      </c>
      <c r="D24" s="54">
        <v>0</v>
      </c>
      <c r="E24" s="54">
        <v>0</v>
      </c>
      <c r="F24" s="54">
        <v>0</v>
      </c>
      <c r="G24" s="54">
        <v>0</v>
      </c>
      <c r="H24" s="54">
        <v>3</v>
      </c>
      <c r="I24" s="54">
        <v>0.13</v>
      </c>
      <c r="J24" s="54">
        <v>190</v>
      </c>
      <c r="K24" s="54">
        <v>570</v>
      </c>
      <c r="L24" s="54" t="str">
        <v>东方</v>
      </c>
      <c r="M24" s="80" t="str">
        <v>2025.7.15，货到现场1个月付至到货金额95%，供货完成提供5%两年银行质保函</v>
      </c>
    </row>
    <row r="25" ht="28" spans="1:13">
      <c r="A25" s="54">
        <v>0</v>
      </c>
      <c r="B25" s="54" t="str">
        <v>链条</v>
      </c>
      <c r="C25" s="54" t="str">
        <v>6mm</v>
      </c>
      <c r="D25" s="54">
        <v>0</v>
      </c>
      <c r="E25" s="54">
        <v>0</v>
      </c>
      <c r="F25" s="54">
        <v>0</v>
      </c>
      <c r="G25" s="54">
        <v>0</v>
      </c>
      <c r="H25" s="54">
        <v>3</v>
      </c>
      <c r="I25" s="54">
        <v>0.13</v>
      </c>
      <c r="J25" s="54">
        <v>60</v>
      </c>
      <c r="K25" s="54">
        <v>180</v>
      </c>
      <c r="L25" s="54" t="str">
        <v>东方</v>
      </c>
      <c r="M25" s="80" t="str">
        <v>2025.7.15，货到现场1个月付至到货金额95%，供货完成提供5%两年银行质保函</v>
      </c>
    </row>
    <row r="26" ht="28" spans="1:13">
      <c r="A26" s="54">
        <v>0</v>
      </c>
      <c r="B26" s="54" t="str">
        <v>浮球</v>
      </c>
      <c r="C26" s="54" t="str">
        <v>/</v>
      </c>
      <c r="D26" s="54">
        <v>0</v>
      </c>
      <c r="E26" s="54">
        <v>0</v>
      </c>
      <c r="F26" s="54">
        <v>0</v>
      </c>
      <c r="G26" s="54">
        <v>0</v>
      </c>
      <c r="H26" s="54">
        <v>3</v>
      </c>
      <c r="I26" s="54">
        <v>0.13</v>
      </c>
      <c r="J26" s="54">
        <v>70</v>
      </c>
      <c r="K26" s="54">
        <v>210</v>
      </c>
      <c r="L26" s="54" t="str">
        <v>东方</v>
      </c>
      <c r="M26" s="80" t="str">
        <v>2025.7.15，货到现场1个月付至到货金额95%，供货完成提供5%两年银行质保函</v>
      </c>
    </row>
    <row r="27" ht="28" spans="1:13">
      <c r="A27" s="54">
        <v>6</v>
      </c>
      <c r="B27" s="54" t="str">
        <v>B1报警阀间集水井排污泵</v>
      </c>
      <c r="C27" s="54" t="str">
        <v>50WQ11101</v>
      </c>
      <c r="D27" s="54">
        <v>10</v>
      </c>
      <c r="E27" s="54">
        <v>18</v>
      </c>
      <c r="F27" s="54">
        <v>2840</v>
      </c>
      <c r="G27" s="54">
        <v>1.5</v>
      </c>
      <c r="H27" s="54">
        <v>2</v>
      </c>
      <c r="I27" s="54">
        <v>0.13</v>
      </c>
      <c r="J27" s="54">
        <v>1520</v>
      </c>
      <c r="K27" s="54">
        <v>3040</v>
      </c>
      <c r="L27" s="54" t="str">
        <v>东方</v>
      </c>
      <c r="M27" s="80" t="str">
        <v>2025.7.15，货到现场1个月付至到货金额95%，供货完成提供5%两年银行质保函</v>
      </c>
    </row>
    <row r="28" ht="28" spans="1:13">
      <c r="A28" s="54">
        <v>0</v>
      </c>
      <c r="B28" s="54" t="str">
        <v>自耦</v>
      </c>
      <c r="C28" s="54" t="str">
        <v>GAK50</v>
      </c>
      <c r="D28" s="54">
        <v>0</v>
      </c>
      <c r="E28" s="54">
        <v>0</v>
      </c>
      <c r="F28" s="54">
        <v>0</v>
      </c>
      <c r="G28" s="54">
        <v>0</v>
      </c>
      <c r="H28" s="54">
        <v>2</v>
      </c>
      <c r="I28" s="54">
        <v>0.13</v>
      </c>
      <c r="J28" s="54">
        <v>400</v>
      </c>
      <c r="K28" s="54">
        <v>800</v>
      </c>
      <c r="L28" s="54" t="str">
        <v>东方</v>
      </c>
      <c r="M28" s="80" t="str">
        <v>2025.7.15，货到现场1个月付至到货金额95%，供货完成提供5%两年银行质保函</v>
      </c>
    </row>
    <row r="29" ht="28" spans="1:13">
      <c r="A29" s="54">
        <v>0</v>
      </c>
      <c r="B29" s="54" t="str">
        <v>导杆</v>
      </c>
      <c r="C29" s="54" t="str">
        <v>32*1.2</v>
      </c>
      <c r="D29" s="54">
        <v>0</v>
      </c>
      <c r="E29" s="54">
        <v>0</v>
      </c>
      <c r="F29" s="54">
        <v>0</v>
      </c>
      <c r="G29" s="54">
        <v>0</v>
      </c>
      <c r="H29" s="54">
        <v>2</v>
      </c>
      <c r="I29" s="54">
        <v>0.13</v>
      </c>
      <c r="J29" s="54">
        <v>190</v>
      </c>
      <c r="K29" s="54">
        <v>380</v>
      </c>
      <c r="L29" s="54" t="str">
        <v>东方</v>
      </c>
      <c r="M29" s="80" t="str">
        <v>2025.7.15，货到现场1个月付至到货金额95%，供货完成提供5%两年银行质保函</v>
      </c>
    </row>
    <row r="30" ht="28" spans="1:13">
      <c r="A30" s="54">
        <v>0</v>
      </c>
      <c r="B30" s="54" t="str">
        <v>链条</v>
      </c>
      <c r="C30" s="54" t="str">
        <v>6mm</v>
      </c>
      <c r="D30" s="54">
        <v>0</v>
      </c>
      <c r="E30" s="54">
        <v>0</v>
      </c>
      <c r="F30" s="54">
        <v>0</v>
      </c>
      <c r="G30" s="54">
        <v>0</v>
      </c>
      <c r="H30" s="54">
        <v>2</v>
      </c>
      <c r="I30" s="54">
        <v>0.13</v>
      </c>
      <c r="J30" s="54">
        <v>60</v>
      </c>
      <c r="K30" s="54">
        <v>120</v>
      </c>
      <c r="L30" s="54" t="str">
        <v>东方</v>
      </c>
      <c r="M30" s="80" t="str">
        <v>2025.7.15，货到现场1个月付至到货金额95%，供货完成提供5%两年银行质保函</v>
      </c>
    </row>
    <row r="31" ht="28" spans="1:13">
      <c r="A31" s="54">
        <v>0</v>
      </c>
      <c r="B31" s="54" t="str">
        <v>浮球</v>
      </c>
      <c r="C31" s="54" t="str">
        <v>/</v>
      </c>
      <c r="D31" s="54">
        <v>0</v>
      </c>
      <c r="E31" s="54">
        <v>0</v>
      </c>
      <c r="F31" s="54">
        <v>0</v>
      </c>
      <c r="G31" s="54">
        <v>0</v>
      </c>
      <c r="H31" s="54">
        <v>2</v>
      </c>
      <c r="I31" s="54">
        <v>0.13</v>
      </c>
      <c r="J31" s="54">
        <v>70</v>
      </c>
      <c r="K31" s="54">
        <v>140</v>
      </c>
      <c r="L31" s="54" t="str">
        <v>东方</v>
      </c>
      <c r="M31" s="80" t="str">
        <v>2025.7.15，货到现场1个月付至到货金额95%，供货完成提供5%两年银行质保函</v>
      </c>
    </row>
    <row r="32" ht="28" spans="1:13">
      <c r="A32" s="54">
        <v>7</v>
      </c>
      <c r="B32" s="54" t="str">
        <v>B1坡道集水井排水泵</v>
      </c>
      <c r="C32" s="54" t="str">
        <v>80WQ11163</v>
      </c>
      <c r="D32" s="54">
        <v>65</v>
      </c>
      <c r="E32" s="54">
        <v>15</v>
      </c>
      <c r="F32" s="54">
        <v>2840</v>
      </c>
      <c r="G32" s="54">
        <v>4</v>
      </c>
      <c r="H32" s="54">
        <v>3</v>
      </c>
      <c r="I32" s="54">
        <v>0.13</v>
      </c>
      <c r="J32" s="54">
        <v>2420</v>
      </c>
      <c r="K32" s="54">
        <v>7260</v>
      </c>
      <c r="L32" s="54" t="str">
        <v>东方</v>
      </c>
      <c r="M32" s="80" t="str">
        <v>2025.7.15，货到现场1个月付至到货金额95%，供货完成提供5%两年银行质保函</v>
      </c>
    </row>
    <row r="33" ht="28" spans="1:13">
      <c r="A33" s="54">
        <v>0</v>
      </c>
      <c r="B33" s="54" t="str">
        <v>自耦</v>
      </c>
      <c r="C33" s="54" t="str">
        <v>GAK80</v>
      </c>
      <c r="D33" s="54">
        <v>0</v>
      </c>
      <c r="E33" s="54">
        <v>0</v>
      </c>
      <c r="F33" s="54">
        <v>0</v>
      </c>
      <c r="G33" s="54">
        <v>0</v>
      </c>
      <c r="H33" s="54">
        <v>3</v>
      </c>
      <c r="I33" s="54">
        <v>0.13</v>
      </c>
      <c r="J33" s="54">
        <v>620</v>
      </c>
      <c r="K33" s="54">
        <v>1860</v>
      </c>
      <c r="L33" s="54" t="str">
        <v>东方</v>
      </c>
      <c r="M33" s="80" t="str">
        <v>2025.7.15，货到现场1个月付至到货金额95%，供货完成提供5%两年银行质保函</v>
      </c>
    </row>
    <row r="34" ht="28" spans="1:13">
      <c r="A34" s="54">
        <v>0</v>
      </c>
      <c r="B34" s="54" t="str">
        <v>导杆</v>
      </c>
      <c r="C34" s="54" t="str">
        <v>32*1.2</v>
      </c>
      <c r="D34" s="54">
        <v>0</v>
      </c>
      <c r="E34" s="54">
        <v>0</v>
      </c>
      <c r="F34" s="54">
        <v>0</v>
      </c>
      <c r="G34" s="54">
        <v>0</v>
      </c>
      <c r="H34" s="54">
        <v>3</v>
      </c>
      <c r="I34" s="54">
        <v>0.13</v>
      </c>
      <c r="J34" s="54">
        <v>190</v>
      </c>
      <c r="K34" s="54">
        <v>570</v>
      </c>
      <c r="L34" s="54" t="str">
        <v>东方</v>
      </c>
      <c r="M34" s="80" t="str">
        <v>2025.7.15，货到现场1个月付至到货金额95%，供货完成提供5%两年银行质保函</v>
      </c>
    </row>
    <row r="35" ht="28" spans="1:13">
      <c r="A35" s="54">
        <v>0</v>
      </c>
      <c r="B35" s="54" t="str">
        <v>链条</v>
      </c>
      <c r="C35" s="54" t="str">
        <v>6mm</v>
      </c>
      <c r="D35" s="54">
        <v>0</v>
      </c>
      <c r="E35" s="54">
        <v>0</v>
      </c>
      <c r="F35" s="54">
        <v>0</v>
      </c>
      <c r="G35" s="54">
        <v>0</v>
      </c>
      <c r="H35" s="54">
        <v>3</v>
      </c>
      <c r="I35" s="54">
        <v>0.13</v>
      </c>
      <c r="J35" s="54">
        <v>60</v>
      </c>
      <c r="K35" s="54">
        <v>180</v>
      </c>
      <c r="L35" s="54" t="str">
        <v>东方</v>
      </c>
      <c r="M35" s="80" t="str">
        <v>2025.7.15，货到现场1个月付至到货金额95%，供货完成提供5%两年银行质保函</v>
      </c>
    </row>
    <row r="36" ht="28" spans="1:13">
      <c r="A36" s="54">
        <v>0</v>
      </c>
      <c r="B36" s="54" t="str">
        <v>浮球</v>
      </c>
      <c r="C36" s="54" t="str">
        <v>/</v>
      </c>
      <c r="D36" s="54">
        <v>0</v>
      </c>
      <c r="E36" s="54">
        <v>0</v>
      </c>
      <c r="F36" s="54">
        <v>0</v>
      </c>
      <c r="G36" s="54">
        <v>0</v>
      </c>
      <c r="H36" s="54">
        <v>3</v>
      </c>
      <c r="I36" s="54">
        <v>0.13</v>
      </c>
      <c r="J36" s="54">
        <v>70</v>
      </c>
      <c r="K36" s="54">
        <v>210</v>
      </c>
      <c r="L36" s="54" t="str">
        <v>东方</v>
      </c>
      <c r="M36" s="80" t="str">
        <v>2025.7.15，货到现场1个月付至到货金额95%，供货完成提供5%两年银行质保函</v>
      </c>
    </row>
    <row r="37" ht="28" spans="1:13">
      <c r="A37" s="54">
        <v>8</v>
      </c>
      <c r="B37" s="54" t="str">
        <v>B1报警阀间集水井排水泵</v>
      </c>
      <c r="C37" s="54" t="str">
        <v>50WQ11101</v>
      </c>
      <c r="D37" s="54">
        <v>10</v>
      </c>
      <c r="E37" s="54">
        <v>18</v>
      </c>
      <c r="F37" s="54">
        <v>2840</v>
      </c>
      <c r="G37" s="54">
        <v>1.5</v>
      </c>
      <c r="H37" s="54">
        <v>2</v>
      </c>
      <c r="I37" s="54">
        <v>0.13</v>
      </c>
      <c r="J37" s="54">
        <v>1520</v>
      </c>
      <c r="K37" s="54">
        <v>3040</v>
      </c>
      <c r="L37" s="54" t="str">
        <v>东方</v>
      </c>
      <c r="M37" s="80" t="str">
        <v>2025.7.15，货到现场1个月付至到货金额95%，供货完成提供5%两年银行质保函</v>
      </c>
    </row>
    <row r="38" ht="28" spans="1:13">
      <c r="A38" s="54">
        <v>0</v>
      </c>
      <c r="B38" s="54" t="str">
        <v>自耦</v>
      </c>
      <c r="C38" s="54" t="str">
        <v>GAK50</v>
      </c>
      <c r="D38" s="54">
        <v>0</v>
      </c>
      <c r="E38" s="54">
        <v>0</v>
      </c>
      <c r="F38" s="54">
        <v>0</v>
      </c>
      <c r="G38" s="54">
        <v>0</v>
      </c>
      <c r="H38" s="54">
        <v>2</v>
      </c>
      <c r="I38" s="54">
        <v>0.13</v>
      </c>
      <c r="J38" s="54">
        <v>400</v>
      </c>
      <c r="K38" s="54">
        <v>800</v>
      </c>
      <c r="L38" s="54" t="str">
        <v>东方</v>
      </c>
      <c r="M38" s="80" t="str">
        <v>2025.7.15，货到现场1个月付至到货金额95%，供货完成提供5%两年银行质保函</v>
      </c>
    </row>
    <row r="39" ht="28" spans="1:13">
      <c r="A39" s="54">
        <v>0</v>
      </c>
      <c r="B39" s="54" t="str">
        <v>导杆</v>
      </c>
      <c r="C39" s="54" t="str">
        <v>32*1.2</v>
      </c>
      <c r="D39" s="54">
        <v>0</v>
      </c>
      <c r="E39" s="54">
        <v>0</v>
      </c>
      <c r="F39" s="54">
        <v>0</v>
      </c>
      <c r="G39" s="54">
        <v>0</v>
      </c>
      <c r="H39" s="54">
        <v>2</v>
      </c>
      <c r="I39" s="54">
        <v>0.13</v>
      </c>
      <c r="J39" s="54">
        <v>190</v>
      </c>
      <c r="K39" s="54">
        <v>380</v>
      </c>
      <c r="L39" s="54" t="str">
        <v>东方</v>
      </c>
      <c r="M39" s="80" t="str">
        <v>2025.7.15，货到现场1个月付至到货金额95%，供货完成提供5%两年银行质保函</v>
      </c>
    </row>
    <row r="40" ht="28" spans="1:13">
      <c r="A40" s="54">
        <v>0</v>
      </c>
      <c r="B40" s="54" t="str">
        <v>链条</v>
      </c>
      <c r="C40" s="54" t="str">
        <v>6mm</v>
      </c>
      <c r="D40" s="54">
        <v>0</v>
      </c>
      <c r="E40" s="54">
        <v>0</v>
      </c>
      <c r="F40" s="54">
        <v>0</v>
      </c>
      <c r="G40" s="54">
        <v>0</v>
      </c>
      <c r="H40" s="54">
        <v>2</v>
      </c>
      <c r="I40" s="54">
        <v>0.13</v>
      </c>
      <c r="J40" s="54">
        <v>60</v>
      </c>
      <c r="K40" s="54">
        <v>120</v>
      </c>
      <c r="L40" s="54" t="str">
        <v>东方</v>
      </c>
      <c r="M40" s="80" t="str">
        <v>2025.7.15，货到现场1个月付至到货金额95%，供货完成提供5%两年银行质保函</v>
      </c>
    </row>
    <row r="41" ht="28" spans="1:13">
      <c r="A41" s="54">
        <v>0</v>
      </c>
      <c r="B41" s="54" t="str">
        <v>浮球</v>
      </c>
      <c r="C41" s="54" t="str">
        <v>/</v>
      </c>
      <c r="D41" s="54">
        <v>0</v>
      </c>
      <c r="E41" s="54">
        <v>0</v>
      </c>
      <c r="F41" s="54">
        <v>0</v>
      </c>
      <c r="G41" s="54">
        <v>0</v>
      </c>
      <c r="H41" s="54">
        <v>2</v>
      </c>
      <c r="I41" s="54">
        <v>0.13</v>
      </c>
      <c r="J41" s="54">
        <v>70</v>
      </c>
      <c r="K41" s="54">
        <v>140</v>
      </c>
      <c r="L41" s="54" t="str">
        <v>东方</v>
      </c>
      <c r="M41" s="80" t="str">
        <v>2025.7.15，货到现场1个月付至到货金额95%，供货完成提供5%两年银行质保函</v>
      </c>
    </row>
    <row r="42" ht="28" spans="1:13">
      <c r="A42" s="54">
        <v>9</v>
      </c>
      <c r="B42" s="54" t="str">
        <v>B1电站集水井排水泵</v>
      </c>
      <c r="C42" s="54" t="str">
        <v>50WQ11101</v>
      </c>
      <c r="D42" s="54">
        <v>10</v>
      </c>
      <c r="E42" s="54">
        <v>18</v>
      </c>
      <c r="F42" s="54">
        <v>2840</v>
      </c>
      <c r="G42" s="54">
        <v>1.5</v>
      </c>
      <c r="H42" s="54">
        <v>1</v>
      </c>
      <c r="I42" s="54">
        <v>0.13</v>
      </c>
      <c r="J42" s="54">
        <v>1520</v>
      </c>
      <c r="K42" s="54">
        <v>1520</v>
      </c>
      <c r="L42" s="54" t="str">
        <v>东方</v>
      </c>
      <c r="M42" s="80" t="str">
        <v>2025.7.15，货到现场1个月付至到货金额95%，供货完成提供5%两年银行质保函</v>
      </c>
    </row>
    <row r="43" ht="28" spans="1:13">
      <c r="A43" s="54">
        <v>0</v>
      </c>
      <c r="B43" s="54" t="str">
        <v>自耦</v>
      </c>
      <c r="C43" s="54" t="str">
        <v>GAK50</v>
      </c>
      <c r="D43" s="54">
        <v>0</v>
      </c>
      <c r="E43" s="54">
        <v>0</v>
      </c>
      <c r="F43" s="54">
        <v>0</v>
      </c>
      <c r="G43" s="54">
        <v>0</v>
      </c>
      <c r="H43" s="54">
        <v>1</v>
      </c>
      <c r="I43" s="54">
        <v>0.13</v>
      </c>
      <c r="J43" s="54">
        <v>400</v>
      </c>
      <c r="K43" s="54">
        <v>400</v>
      </c>
      <c r="L43" s="54" t="str">
        <v>东方</v>
      </c>
      <c r="M43" s="80" t="str">
        <v>2025.7.15，货到现场1个月付至到货金额95%，供货完成提供5%两年银行质保函</v>
      </c>
    </row>
    <row r="44" ht="28" spans="1:13">
      <c r="A44" s="54">
        <v>0</v>
      </c>
      <c r="B44" s="54" t="str">
        <v>导杆</v>
      </c>
      <c r="C44" s="54" t="str">
        <v>32*1.2</v>
      </c>
      <c r="D44" s="54">
        <v>0</v>
      </c>
      <c r="E44" s="54">
        <v>0</v>
      </c>
      <c r="F44" s="54">
        <v>0</v>
      </c>
      <c r="G44" s="54">
        <v>0</v>
      </c>
      <c r="H44" s="54">
        <v>1</v>
      </c>
      <c r="I44" s="54">
        <v>0.13</v>
      </c>
      <c r="J44" s="54">
        <v>190</v>
      </c>
      <c r="K44" s="54">
        <v>190</v>
      </c>
      <c r="L44" s="54" t="str">
        <v>东方</v>
      </c>
      <c r="M44" s="80" t="str">
        <v>2025.7.15，货到现场1个月付至到货金额95%，供货完成提供5%两年银行质保函</v>
      </c>
    </row>
    <row r="45" ht="28" spans="1:13">
      <c r="A45" s="54">
        <v>0</v>
      </c>
      <c r="B45" s="54" t="str">
        <v>链条</v>
      </c>
      <c r="C45" s="54" t="str">
        <v>6mm</v>
      </c>
      <c r="D45" s="54">
        <v>0</v>
      </c>
      <c r="E45" s="54">
        <v>0</v>
      </c>
      <c r="F45" s="54">
        <v>0</v>
      </c>
      <c r="G45" s="54">
        <v>0</v>
      </c>
      <c r="H45" s="54">
        <v>1</v>
      </c>
      <c r="I45" s="54">
        <v>0.13</v>
      </c>
      <c r="J45" s="54">
        <v>60</v>
      </c>
      <c r="K45" s="54">
        <v>60</v>
      </c>
      <c r="L45" s="54" t="str">
        <v>东方</v>
      </c>
      <c r="M45" s="80" t="str">
        <v>2025.7.15，货到现场1个月付至到货金额95%，供货完成提供5%两年银行质保函</v>
      </c>
    </row>
    <row r="46" ht="28" spans="1:13">
      <c r="A46" s="54">
        <v>0</v>
      </c>
      <c r="B46" s="54" t="str">
        <v>浮球</v>
      </c>
      <c r="C46" s="54" t="str">
        <v>/</v>
      </c>
      <c r="D46" s="54">
        <v>0</v>
      </c>
      <c r="E46" s="54">
        <v>0</v>
      </c>
      <c r="F46" s="54">
        <v>0</v>
      </c>
      <c r="G46" s="54">
        <v>0</v>
      </c>
      <c r="H46" s="54">
        <v>1</v>
      </c>
      <c r="I46" s="54">
        <v>0.13</v>
      </c>
      <c r="J46" s="54">
        <v>70</v>
      </c>
      <c r="K46" s="54">
        <v>70</v>
      </c>
      <c r="L46" s="54" t="str">
        <v>东方</v>
      </c>
      <c r="M46" s="80" t="str">
        <v>2025.7.15，货到现场1个月付至到货金额95%，供货完成提供5%两年银行质保函</v>
      </c>
    </row>
    <row r="47" ht="28" spans="1:13">
      <c r="A47" s="54">
        <v>10</v>
      </c>
      <c r="B47" s="54" t="str">
        <v>B1非机动车坡道集水井排水泵</v>
      </c>
      <c r="C47" s="54" t="str">
        <v>50WQ11103</v>
      </c>
      <c r="D47" s="54">
        <v>20</v>
      </c>
      <c r="E47" s="54">
        <v>20</v>
      </c>
      <c r="F47" s="54">
        <v>2840</v>
      </c>
      <c r="G47" s="54">
        <v>2.2</v>
      </c>
      <c r="H47" s="54">
        <v>2</v>
      </c>
      <c r="I47" s="54">
        <v>0.13</v>
      </c>
      <c r="J47" s="54">
        <v>1650</v>
      </c>
      <c r="K47" s="54">
        <v>3300</v>
      </c>
      <c r="L47" s="54" t="str">
        <v>东方</v>
      </c>
      <c r="M47" s="80" t="str">
        <v>2025.7.15，货到现场1个月付至到货金额95%，供货完成提供5%两年银行质保函</v>
      </c>
    </row>
    <row r="48" ht="28" spans="1:13">
      <c r="A48" s="54">
        <v>0</v>
      </c>
      <c r="B48" s="54" t="str">
        <v>自耦</v>
      </c>
      <c r="C48" s="54" t="str">
        <v>GAK50</v>
      </c>
      <c r="D48" s="54">
        <v>0</v>
      </c>
      <c r="E48" s="54">
        <v>0</v>
      </c>
      <c r="F48" s="54">
        <v>0</v>
      </c>
      <c r="G48" s="54">
        <v>0</v>
      </c>
      <c r="H48" s="54">
        <v>2</v>
      </c>
      <c r="I48" s="54">
        <v>0.13</v>
      </c>
      <c r="J48" s="54">
        <v>400</v>
      </c>
      <c r="K48" s="54">
        <v>800</v>
      </c>
      <c r="L48" s="54" t="str">
        <v>东方</v>
      </c>
      <c r="M48" s="80" t="str">
        <v>2025.7.15，货到现场1个月付至到货金额95%，供货完成提供5%两年银行质保函</v>
      </c>
    </row>
    <row r="49" ht="28" spans="1:13">
      <c r="A49" s="54">
        <v>0</v>
      </c>
      <c r="B49" s="54" t="str">
        <v>导杆</v>
      </c>
      <c r="C49" s="54" t="str">
        <v>32*1.2</v>
      </c>
      <c r="D49" s="54">
        <v>0</v>
      </c>
      <c r="E49" s="54">
        <v>0</v>
      </c>
      <c r="F49" s="54">
        <v>0</v>
      </c>
      <c r="G49" s="54">
        <v>0</v>
      </c>
      <c r="H49" s="54">
        <v>2</v>
      </c>
      <c r="I49" s="54">
        <v>0.13</v>
      </c>
      <c r="J49" s="54">
        <v>300</v>
      </c>
      <c r="K49" s="54">
        <v>600</v>
      </c>
      <c r="L49" s="54" t="str">
        <v>东方</v>
      </c>
      <c r="M49" s="80" t="str">
        <v>2025.7.15，货到现场1个月付至到货金额95%，供货完成提供5%两年银行质保函</v>
      </c>
    </row>
    <row r="50" ht="28" spans="1:13">
      <c r="A50" s="54">
        <v>0</v>
      </c>
      <c r="B50" s="54" t="str">
        <v>链条</v>
      </c>
      <c r="C50" s="54" t="str">
        <v>6mm</v>
      </c>
      <c r="D50" s="54">
        <v>0</v>
      </c>
      <c r="E50" s="54">
        <v>0</v>
      </c>
      <c r="F50" s="54">
        <v>0</v>
      </c>
      <c r="G50" s="54">
        <v>0</v>
      </c>
      <c r="H50" s="54">
        <v>2</v>
      </c>
      <c r="I50" s="54">
        <v>0.13</v>
      </c>
      <c r="J50" s="54">
        <v>105</v>
      </c>
      <c r="K50" s="54">
        <v>210</v>
      </c>
      <c r="L50" s="54" t="str">
        <v>东方</v>
      </c>
      <c r="M50" s="80" t="str">
        <v>2025.7.15，货到现场1个月付至到货金额95%，供货完成提供5%两年银行质保函</v>
      </c>
    </row>
    <row r="51" ht="28" spans="1:13">
      <c r="A51" s="54">
        <v>0</v>
      </c>
      <c r="B51" s="54" t="str">
        <v>浮球</v>
      </c>
      <c r="C51" s="54" t="str">
        <v>/</v>
      </c>
      <c r="D51" s="54">
        <v>0</v>
      </c>
      <c r="E51" s="54">
        <v>0</v>
      </c>
      <c r="F51" s="54">
        <v>0</v>
      </c>
      <c r="G51" s="54">
        <v>0</v>
      </c>
      <c r="H51" s="54">
        <v>2</v>
      </c>
      <c r="I51" s="54">
        <v>0.13</v>
      </c>
      <c r="J51" s="54">
        <v>70</v>
      </c>
      <c r="K51" s="54">
        <v>140</v>
      </c>
      <c r="L51" s="54" t="str">
        <v>东方</v>
      </c>
      <c r="M51" s="80" t="str">
        <v>2025.7.15，货到现场1个月付至到货金额95%，供货完成提供5%两年银行质保函</v>
      </c>
    </row>
    <row r="52" ht="28" spans="1:13">
      <c r="A52" s="54">
        <v>11</v>
      </c>
      <c r="B52" s="54" t="str">
        <v>B1制冷机房集水井排水泵</v>
      </c>
      <c r="C52" s="54" t="str">
        <v>50WQ11123</v>
      </c>
      <c r="D52" s="54">
        <v>25</v>
      </c>
      <c r="E52" s="54">
        <v>15</v>
      </c>
      <c r="F52" s="54">
        <v>2840</v>
      </c>
      <c r="G52" s="54">
        <v>2.2</v>
      </c>
      <c r="H52" s="54">
        <v>3</v>
      </c>
      <c r="I52" s="54">
        <v>0.13</v>
      </c>
      <c r="J52" s="54">
        <v>1650</v>
      </c>
      <c r="K52" s="54">
        <v>4950</v>
      </c>
      <c r="L52" s="54" t="str">
        <v>东方</v>
      </c>
      <c r="M52" s="80" t="str">
        <v>2025.7.15，货到现场1个月付至到货金额95%，供货完成提供5%两年银行质保函</v>
      </c>
    </row>
    <row r="53" ht="28" spans="1:13">
      <c r="A53" s="54">
        <v>0</v>
      </c>
      <c r="B53" s="54" t="str">
        <v>自耦</v>
      </c>
      <c r="C53" s="54" t="str">
        <v>GAK50</v>
      </c>
      <c r="D53" s="54">
        <v>0</v>
      </c>
      <c r="E53" s="54">
        <v>0</v>
      </c>
      <c r="F53" s="54">
        <v>0</v>
      </c>
      <c r="G53" s="54">
        <v>0</v>
      </c>
      <c r="H53" s="54">
        <v>3</v>
      </c>
      <c r="I53" s="54">
        <v>0.13</v>
      </c>
      <c r="J53" s="54">
        <v>400</v>
      </c>
      <c r="K53" s="54">
        <v>1200</v>
      </c>
      <c r="L53" s="54" t="str">
        <v>东方</v>
      </c>
      <c r="M53" s="80" t="str">
        <v>2025.7.15，货到现场1个月付至到货金额95%，供货完成提供5%两年银行质保函</v>
      </c>
    </row>
    <row r="54" ht="28" spans="1:13">
      <c r="A54" s="54">
        <v>0</v>
      </c>
      <c r="B54" s="54" t="str">
        <v>导杆</v>
      </c>
      <c r="C54" s="54" t="str">
        <v>32*1.2</v>
      </c>
      <c r="D54" s="54">
        <v>0</v>
      </c>
      <c r="E54" s="54">
        <v>0</v>
      </c>
      <c r="F54" s="54">
        <v>0</v>
      </c>
      <c r="G54" s="54">
        <v>0</v>
      </c>
      <c r="H54" s="54">
        <v>3</v>
      </c>
      <c r="I54" s="54">
        <v>0.13</v>
      </c>
      <c r="J54" s="54">
        <v>190</v>
      </c>
      <c r="K54" s="54">
        <v>570</v>
      </c>
      <c r="L54" s="54" t="str">
        <v>东方</v>
      </c>
      <c r="M54" s="80" t="str">
        <v>2025.7.15，货到现场1个月付至到货金额95%，供货完成提供5%两年银行质保函</v>
      </c>
    </row>
    <row r="55" ht="28" spans="1:13">
      <c r="A55" s="54">
        <v>0</v>
      </c>
      <c r="B55" s="54" t="str">
        <v>链条</v>
      </c>
      <c r="C55" s="54" t="str">
        <v>6mm</v>
      </c>
      <c r="D55" s="54">
        <v>0</v>
      </c>
      <c r="E55" s="54">
        <v>0</v>
      </c>
      <c r="F55" s="54">
        <v>0</v>
      </c>
      <c r="G55" s="54">
        <v>0</v>
      </c>
      <c r="H55" s="54">
        <v>3</v>
      </c>
      <c r="I55" s="54">
        <v>0.13</v>
      </c>
      <c r="J55" s="54">
        <v>60</v>
      </c>
      <c r="K55" s="54">
        <v>180</v>
      </c>
      <c r="L55" s="54" t="str">
        <v>东方</v>
      </c>
      <c r="M55" s="80" t="str">
        <v>2025.7.15，货到现场1个月付至到货金额95%，供货完成提供5%两年银行质保函</v>
      </c>
    </row>
    <row r="56" ht="28" spans="1:13">
      <c r="A56" s="54">
        <v>0</v>
      </c>
      <c r="B56" s="54" t="str">
        <v>浮球</v>
      </c>
      <c r="C56" s="54" t="str">
        <v>/</v>
      </c>
      <c r="D56" s="54">
        <v>0</v>
      </c>
      <c r="E56" s="54">
        <v>0</v>
      </c>
      <c r="F56" s="54">
        <v>0</v>
      </c>
      <c r="G56" s="54">
        <v>0</v>
      </c>
      <c r="H56" s="54">
        <v>3</v>
      </c>
      <c r="I56" s="54">
        <v>0.13</v>
      </c>
      <c r="J56" s="54">
        <v>70</v>
      </c>
      <c r="K56" s="54">
        <v>210</v>
      </c>
      <c r="L56" s="54" t="str">
        <v>东方</v>
      </c>
      <c r="M56" s="80" t="str">
        <v>2025.7.15，货到现场1个月付至到货金额95%，供货完成提供5%两年银行质保函</v>
      </c>
    </row>
    <row r="57" ht="28" spans="1:13">
      <c r="A57" s="54">
        <v>12</v>
      </c>
      <c r="B57" s="54" t="str">
        <v>B1隔油间集水井排水泵</v>
      </c>
      <c r="C57" s="54" t="str">
        <v>50WQ11101</v>
      </c>
      <c r="D57" s="54">
        <v>10</v>
      </c>
      <c r="E57" s="54">
        <v>18</v>
      </c>
      <c r="F57" s="54">
        <v>2840</v>
      </c>
      <c r="G57" s="54">
        <v>1.5</v>
      </c>
      <c r="H57" s="54">
        <v>2</v>
      </c>
      <c r="I57" s="54">
        <v>0.13</v>
      </c>
      <c r="J57" s="54">
        <v>1520</v>
      </c>
      <c r="K57" s="54">
        <v>3040</v>
      </c>
      <c r="L57" s="54" t="str">
        <v>东方</v>
      </c>
      <c r="M57" s="80" t="str">
        <v>2025.7.15，货到现场1个月付至到货金额95%，供货完成提供5%两年银行质保函</v>
      </c>
    </row>
    <row r="58" ht="28" spans="1:13">
      <c r="A58" s="54">
        <v>0</v>
      </c>
      <c r="B58" s="54" t="str">
        <v>自耦</v>
      </c>
      <c r="C58" s="54" t="str">
        <v>GAK50</v>
      </c>
      <c r="D58" s="54">
        <v>0</v>
      </c>
      <c r="E58" s="54">
        <v>0</v>
      </c>
      <c r="F58" s="54">
        <v>0</v>
      </c>
      <c r="G58" s="54">
        <v>0</v>
      </c>
      <c r="H58" s="54">
        <v>2</v>
      </c>
      <c r="I58" s="54">
        <v>0.13</v>
      </c>
      <c r="J58" s="54">
        <v>400</v>
      </c>
      <c r="K58" s="54">
        <v>800</v>
      </c>
      <c r="L58" s="54" t="str">
        <v>东方</v>
      </c>
      <c r="M58" s="80" t="str">
        <v>2025.7.15，货到现场1个月付至到货金额95%，供货完成提供5%两年银行质保函</v>
      </c>
    </row>
    <row r="59" ht="28" spans="1:13">
      <c r="A59" s="54">
        <v>0</v>
      </c>
      <c r="B59" s="54" t="str">
        <v>导杆</v>
      </c>
      <c r="C59" s="54" t="str">
        <v>32*1.2</v>
      </c>
      <c r="D59" s="54">
        <v>0</v>
      </c>
      <c r="E59" s="54">
        <v>0</v>
      </c>
      <c r="F59" s="54">
        <v>0</v>
      </c>
      <c r="G59" s="54">
        <v>0</v>
      </c>
      <c r="H59" s="54">
        <v>2</v>
      </c>
      <c r="I59" s="54">
        <v>0.13</v>
      </c>
      <c r="J59" s="54">
        <v>190</v>
      </c>
      <c r="K59" s="54">
        <v>380</v>
      </c>
      <c r="L59" s="54" t="str">
        <v>东方</v>
      </c>
      <c r="M59" s="80" t="str">
        <v>2025.7.15，货到现场1个月付至到货金额95%，供货完成提供5%两年银行质保函</v>
      </c>
    </row>
    <row r="60" ht="28" spans="1:13">
      <c r="A60" s="54">
        <v>0</v>
      </c>
      <c r="B60" s="54" t="str">
        <v>链条</v>
      </c>
      <c r="C60" s="54" t="str">
        <v>6mm</v>
      </c>
      <c r="D60" s="54">
        <v>0</v>
      </c>
      <c r="E60" s="54">
        <v>0</v>
      </c>
      <c r="F60" s="54">
        <v>0</v>
      </c>
      <c r="G60" s="54">
        <v>0</v>
      </c>
      <c r="H60" s="54">
        <v>2</v>
      </c>
      <c r="I60" s="54">
        <v>0.13</v>
      </c>
      <c r="J60" s="54">
        <v>60</v>
      </c>
      <c r="K60" s="54">
        <v>120</v>
      </c>
      <c r="L60" s="54" t="str">
        <v>东方</v>
      </c>
      <c r="M60" s="80" t="str">
        <v>2025.7.15，货到现场1个月付至到货金额95%，供货完成提供5%两年银行质保函</v>
      </c>
    </row>
    <row r="61" ht="28" spans="1:13">
      <c r="A61" s="54">
        <v>0</v>
      </c>
      <c r="B61" s="54" t="str">
        <v>浮球</v>
      </c>
      <c r="C61" s="54" t="str">
        <v>/</v>
      </c>
      <c r="D61" s="54">
        <v>0</v>
      </c>
      <c r="E61" s="54">
        <v>0</v>
      </c>
      <c r="F61" s="54">
        <v>0</v>
      </c>
      <c r="G61" s="54">
        <v>0</v>
      </c>
      <c r="H61" s="54">
        <v>2</v>
      </c>
      <c r="I61" s="54">
        <v>0.13</v>
      </c>
      <c r="J61" s="54">
        <v>70</v>
      </c>
      <c r="K61" s="54">
        <v>140</v>
      </c>
      <c r="L61" s="54" t="str">
        <v>东方</v>
      </c>
      <c r="M61" s="80" t="str">
        <v>2025.7.15，货到现场1个月付至到货金额95%，供货完成提供5%两年银行质保函</v>
      </c>
    </row>
    <row r="62" ht="28" spans="1:13">
      <c r="A62" s="54">
        <v>13</v>
      </c>
      <c r="B62" s="54" t="str">
        <v>B1卸货区集水井排水泵</v>
      </c>
      <c r="C62" s="54" t="str">
        <v>50WQ11072</v>
      </c>
      <c r="D62" s="54">
        <v>15</v>
      </c>
      <c r="E62" s="54">
        <v>20</v>
      </c>
      <c r="F62" s="54">
        <v>2840</v>
      </c>
      <c r="G62" s="54">
        <v>2.2</v>
      </c>
      <c r="H62" s="54">
        <v>2</v>
      </c>
      <c r="I62" s="54">
        <v>0.13</v>
      </c>
      <c r="J62" s="54">
        <v>1650</v>
      </c>
      <c r="K62" s="54">
        <v>3300</v>
      </c>
      <c r="L62" s="54" t="str">
        <v>东方</v>
      </c>
      <c r="M62" s="80" t="str">
        <v>2025.7.15，货到现场1个月付至到货金额95%，供货完成提供5%两年银行质保函</v>
      </c>
    </row>
    <row r="63" ht="28" spans="1:13">
      <c r="A63" s="54">
        <v>0</v>
      </c>
      <c r="B63" s="54" t="str">
        <v>自耦</v>
      </c>
      <c r="C63" s="54" t="str">
        <v>GAK50</v>
      </c>
      <c r="D63" s="54">
        <v>0</v>
      </c>
      <c r="E63" s="54">
        <v>0</v>
      </c>
      <c r="F63" s="54">
        <v>0</v>
      </c>
      <c r="G63" s="54">
        <v>0</v>
      </c>
      <c r="H63" s="54">
        <v>2</v>
      </c>
      <c r="I63" s="54">
        <v>0.13</v>
      </c>
      <c r="J63" s="54">
        <v>400</v>
      </c>
      <c r="K63" s="54">
        <v>800</v>
      </c>
      <c r="L63" s="54" t="str">
        <v>东方</v>
      </c>
      <c r="M63" s="80" t="str">
        <v>2025.7.15，货到现场1个月付至到货金额95%，供货完成提供5%两年银行质保函</v>
      </c>
    </row>
    <row r="64" ht="28" spans="1:13">
      <c r="A64" s="54">
        <v>0</v>
      </c>
      <c r="B64" s="54" t="str">
        <v>导杆</v>
      </c>
      <c r="C64" s="54" t="str">
        <v>32*1.2</v>
      </c>
      <c r="D64" s="54">
        <v>0</v>
      </c>
      <c r="E64" s="54">
        <v>0</v>
      </c>
      <c r="F64" s="54">
        <v>0</v>
      </c>
      <c r="G64" s="54">
        <v>0</v>
      </c>
      <c r="H64" s="54">
        <v>2</v>
      </c>
      <c r="I64" s="54">
        <v>0.13</v>
      </c>
      <c r="J64" s="54">
        <v>190</v>
      </c>
      <c r="K64" s="54">
        <v>380</v>
      </c>
      <c r="L64" s="54" t="str">
        <v>东方</v>
      </c>
      <c r="M64" s="80" t="str">
        <v>2025.7.15，货到现场1个月付至到货金额95%，供货完成提供5%两年银行质保函</v>
      </c>
    </row>
    <row r="65" ht="28" spans="1:13">
      <c r="A65" s="54">
        <v>0</v>
      </c>
      <c r="B65" s="54" t="str">
        <v>链条</v>
      </c>
      <c r="C65" s="54" t="str">
        <v>6mm</v>
      </c>
      <c r="D65" s="54">
        <v>0</v>
      </c>
      <c r="E65" s="54">
        <v>0</v>
      </c>
      <c r="F65" s="54">
        <v>0</v>
      </c>
      <c r="G65" s="54">
        <v>0</v>
      </c>
      <c r="H65" s="54">
        <v>2</v>
      </c>
      <c r="I65" s="54">
        <v>0.13</v>
      </c>
      <c r="J65" s="54">
        <v>60</v>
      </c>
      <c r="K65" s="54">
        <v>120</v>
      </c>
      <c r="L65" s="54" t="str">
        <v>东方</v>
      </c>
      <c r="M65" s="80" t="str">
        <v>2025.7.15，货到现场1个月付至到货金额95%，供货完成提供5%两年银行质保函</v>
      </c>
    </row>
    <row r="66" ht="28" spans="1:13">
      <c r="A66" s="54">
        <v>0</v>
      </c>
      <c r="B66" s="54" t="str">
        <v>浮球</v>
      </c>
      <c r="C66" s="54" t="str">
        <v>/</v>
      </c>
      <c r="D66" s="54">
        <v>0</v>
      </c>
      <c r="E66" s="54">
        <v>0</v>
      </c>
      <c r="F66" s="54">
        <v>0</v>
      </c>
      <c r="G66" s="54">
        <v>0</v>
      </c>
      <c r="H66" s="54">
        <v>2</v>
      </c>
      <c r="I66" s="54">
        <v>0.13</v>
      </c>
      <c r="J66" s="54">
        <v>70</v>
      </c>
      <c r="K66" s="54">
        <v>140</v>
      </c>
      <c r="L66" s="54" t="str">
        <v>东方</v>
      </c>
      <c r="M66" s="80" t="str">
        <v>2025.7.15，货到现场1个月付至到货金额95%，供货完成提供5%两年银行质保函</v>
      </c>
    </row>
    <row r="67" ht="28" spans="1:13">
      <c r="A67" s="54">
        <v>14</v>
      </c>
      <c r="B67" s="54" t="str">
        <v>B1坡道集水井排水泵</v>
      </c>
      <c r="C67" s="54" t="str">
        <v>50WQ11152</v>
      </c>
      <c r="D67" s="54">
        <v>40</v>
      </c>
      <c r="E67" s="54">
        <v>15</v>
      </c>
      <c r="F67" s="54">
        <v>2840</v>
      </c>
      <c r="G67" s="54">
        <v>3</v>
      </c>
      <c r="H67" s="54">
        <v>3</v>
      </c>
      <c r="I67" s="54">
        <v>0.13</v>
      </c>
      <c r="J67" s="54">
        <v>2005</v>
      </c>
      <c r="K67" s="54">
        <v>6015</v>
      </c>
      <c r="L67" s="54" t="str">
        <v>东方</v>
      </c>
      <c r="M67" s="80" t="str">
        <v>2025.7.15，货到现场1个月付至到货金额95%，供货完成提供5%两年银行质保函</v>
      </c>
    </row>
    <row r="68" ht="28" spans="1:13">
      <c r="A68" s="54">
        <v>0</v>
      </c>
      <c r="B68" s="54" t="str">
        <v>自耦</v>
      </c>
      <c r="C68" s="54" t="str">
        <v>GAK50</v>
      </c>
      <c r="D68" s="54">
        <v>0</v>
      </c>
      <c r="E68" s="54">
        <v>0</v>
      </c>
      <c r="F68" s="54">
        <v>0</v>
      </c>
      <c r="G68" s="54">
        <v>0</v>
      </c>
      <c r="H68" s="54">
        <v>3</v>
      </c>
      <c r="I68" s="54">
        <v>0.13</v>
      </c>
      <c r="J68" s="54">
        <v>400</v>
      </c>
      <c r="K68" s="54">
        <v>1200</v>
      </c>
      <c r="L68" s="54" t="str">
        <v>东方</v>
      </c>
      <c r="M68" s="80" t="str">
        <v>2025.7.15，货到现场1个月付至到货金额95%，供货完成提供5%两年银行质保函</v>
      </c>
    </row>
    <row r="69" ht="28" spans="1:13">
      <c r="A69" s="54">
        <v>0</v>
      </c>
      <c r="B69" s="54" t="str">
        <v>导杆</v>
      </c>
      <c r="C69" s="54" t="str">
        <v>32*1.2</v>
      </c>
      <c r="D69" s="54">
        <v>0</v>
      </c>
      <c r="E69" s="54">
        <v>0</v>
      </c>
      <c r="F69" s="54">
        <v>0</v>
      </c>
      <c r="G69" s="54">
        <v>0</v>
      </c>
      <c r="H69" s="54">
        <v>3</v>
      </c>
      <c r="I69" s="54">
        <v>0.13</v>
      </c>
      <c r="J69" s="54">
        <v>190</v>
      </c>
      <c r="K69" s="54">
        <v>570</v>
      </c>
      <c r="L69" s="54" t="str">
        <v>东方</v>
      </c>
      <c r="M69" s="80" t="str">
        <v>2025.7.15，货到现场1个月付至到货金额95%，供货完成提供5%两年银行质保函</v>
      </c>
    </row>
    <row r="70" ht="28" spans="1:13">
      <c r="A70" s="54">
        <v>0</v>
      </c>
      <c r="B70" s="54" t="str">
        <v>链条</v>
      </c>
      <c r="C70" s="54" t="str">
        <v>6mm</v>
      </c>
      <c r="D70" s="54">
        <v>0</v>
      </c>
      <c r="E70" s="54">
        <v>0</v>
      </c>
      <c r="F70" s="54">
        <v>0</v>
      </c>
      <c r="G70" s="54">
        <v>0</v>
      </c>
      <c r="H70" s="54">
        <v>3</v>
      </c>
      <c r="I70" s="54">
        <v>0.13</v>
      </c>
      <c r="J70" s="54">
        <v>60</v>
      </c>
      <c r="K70" s="54">
        <v>180</v>
      </c>
      <c r="L70" s="54" t="str">
        <v>东方</v>
      </c>
      <c r="M70" s="80" t="str">
        <v>2025.7.15，货到现场1个月付至到货金额95%，供货完成提供5%两年银行质保函</v>
      </c>
    </row>
    <row r="71" ht="28" spans="1:13">
      <c r="A71" s="54">
        <v>0</v>
      </c>
      <c r="B71" s="54" t="str">
        <v>浮球</v>
      </c>
      <c r="C71" s="54" t="str">
        <v>/</v>
      </c>
      <c r="D71" s="54">
        <v>0</v>
      </c>
      <c r="E71" s="54">
        <v>0</v>
      </c>
      <c r="F71" s="54">
        <v>0</v>
      </c>
      <c r="G71" s="54">
        <v>0</v>
      </c>
      <c r="H71" s="54">
        <v>3</v>
      </c>
      <c r="I71" s="54">
        <v>0.13</v>
      </c>
      <c r="J71" s="54">
        <v>70</v>
      </c>
      <c r="K71" s="54">
        <v>210</v>
      </c>
      <c r="L71" s="54" t="str">
        <v>东方</v>
      </c>
      <c r="M71" s="80" t="str">
        <v>2025.7.15，货到现场1个月付至到货金额95%，供货完成提供5%两年银行质保函</v>
      </c>
    </row>
    <row r="72" ht="28" spans="1:13">
      <c r="A72" s="54">
        <v>15</v>
      </c>
      <c r="B72" s="54" t="str">
        <v>B1垃圾房集水井排水泵</v>
      </c>
      <c r="C72" s="54" t="str">
        <v>50WQ11072</v>
      </c>
      <c r="D72" s="54">
        <v>15</v>
      </c>
      <c r="E72" s="54">
        <v>20</v>
      </c>
      <c r="F72" s="54">
        <v>2840</v>
      </c>
      <c r="G72" s="54">
        <v>2.2</v>
      </c>
      <c r="H72" s="54">
        <v>2</v>
      </c>
      <c r="I72" s="54">
        <v>0.13</v>
      </c>
      <c r="J72" s="54">
        <v>1650</v>
      </c>
      <c r="K72" s="54">
        <v>3300</v>
      </c>
      <c r="L72" s="54" t="str">
        <v>东方</v>
      </c>
      <c r="M72" s="80" t="str">
        <v>2025.7.15，货到现场1个月付至到货金额95%，供货完成提供5%两年银行质保函</v>
      </c>
    </row>
    <row r="73" ht="28" spans="1:13">
      <c r="A73" s="54">
        <v>0</v>
      </c>
      <c r="B73" s="54" t="str">
        <v>自耦</v>
      </c>
      <c r="C73" s="54" t="str">
        <v>GAK50</v>
      </c>
      <c r="D73" s="54">
        <v>0</v>
      </c>
      <c r="E73" s="54">
        <v>0</v>
      </c>
      <c r="F73" s="54">
        <v>0</v>
      </c>
      <c r="G73" s="54">
        <v>0</v>
      </c>
      <c r="H73" s="54">
        <v>2</v>
      </c>
      <c r="I73" s="54">
        <v>0.13</v>
      </c>
      <c r="J73" s="54">
        <v>400</v>
      </c>
      <c r="K73" s="54">
        <v>800</v>
      </c>
      <c r="L73" s="54" t="str">
        <v>东方</v>
      </c>
      <c r="M73" s="80" t="str">
        <v>2025.7.15，货到现场1个月付至到货金额95%，供货完成提供5%两年银行质保函</v>
      </c>
    </row>
    <row r="74" ht="28" spans="1:13">
      <c r="A74" s="54">
        <v>0</v>
      </c>
      <c r="B74" s="54" t="str">
        <v>导杆</v>
      </c>
      <c r="C74" s="54" t="str">
        <v>32*1.2</v>
      </c>
      <c r="D74" s="54">
        <v>0</v>
      </c>
      <c r="E74" s="54">
        <v>0</v>
      </c>
      <c r="F74" s="54">
        <v>0</v>
      </c>
      <c r="G74" s="54">
        <v>0</v>
      </c>
      <c r="H74" s="54">
        <v>2</v>
      </c>
      <c r="I74" s="54">
        <v>0.13</v>
      </c>
      <c r="J74" s="54">
        <v>190</v>
      </c>
      <c r="K74" s="54">
        <v>380</v>
      </c>
      <c r="L74" s="54" t="str">
        <v>东方</v>
      </c>
      <c r="M74" s="80" t="str">
        <v>2025.7.15，货到现场1个月付至到货金额95%，供货完成提供5%两年银行质保函</v>
      </c>
    </row>
    <row r="75" ht="28" spans="1:13">
      <c r="A75" s="54">
        <v>0</v>
      </c>
      <c r="B75" s="54" t="str">
        <v>链条</v>
      </c>
      <c r="C75" s="54" t="str">
        <v>6mm</v>
      </c>
      <c r="D75" s="54">
        <v>0</v>
      </c>
      <c r="E75" s="54">
        <v>0</v>
      </c>
      <c r="F75" s="54">
        <v>0</v>
      </c>
      <c r="G75" s="54">
        <v>0</v>
      </c>
      <c r="H75" s="54">
        <v>2</v>
      </c>
      <c r="I75" s="54">
        <v>0.13</v>
      </c>
      <c r="J75" s="54">
        <v>60</v>
      </c>
      <c r="K75" s="54">
        <v>120</v>
      </c>
      <c r="L75" s="54" t="str">
        <v>东方</v>
      </c>
      <c r="M75" s="80" t="str">
        <v>2025.7.15，货到现场1个月付至到货金额95%，供货完成提供5%两年银行质保函</v>
      </c>
    </row>
    <row r="76" ht="28" spans="1:13">
      <c r="A76" s="54">
        <v>0</v>
      </c>
      <c r="B76" s="54" t="str">
        <v>浮球</v>
      </c>
      <c r="C76" s="54" t="str">
        <v>/</v>
      </c>
      <c r="D76" s="54">
        <v>0</v>
      </c>
      <c r="E76" s="54">
        <v>0</v>
      </c>
      <c r="F76" s="54">
        <v>0</v>
      </c>
      <c r="G76" s="54">
        <v>0</v>
      </c>
      <c r="H76" s="54">
        <v>2</v>
      </c>
      <c r="I76" s="54">
        <v>0.13</v>
      </c>
      <c r="J76" s="54">
        <v>70</v>
      </c>
      <c r="K76" s="54">
        <v>140</v>
      </c>
      <c r="L76" s="54" t="str">
        <v>东方</v>
      </c>
      <c r="M76" s="80" t="str">
        <v>2025.7.15，货到现场1个月付至到货金额95%，供货完成提供5%两年银行质保函</v>
      </c>
    </row>
    <row r="77" ht="28" spans="1:13">
      <c r="A77" s="54">
        <v>16</v>
      </c>
      <c r="B77" s="54" t="str">
        <v>B1下沉广场集水井排水泵</v>
      </c>
      <c r="C77" s="54" t="str">
        <v>80WQ11152</v>
      </c>
      <c r="D77" s="54">
        <v>80</v>
      </c>
      <c r="E77" s="54">
        <v>20</v>
      </c>
      <c r="F77" s="54">
        <v>2840</v>
      </c>
      <c r="G77" s="54">
        <v>7.5</v>
      </c>
      <c r="H77" s="54">
        <v>3</v>
      </c>
      <c r="I77" s="54">
        <v>0.13</v>
      </c>
      <c r="J77" s="54">
        <v>3780</v>
      </c>
      <c r="K77" s="54">
        <v>11340</v>
      </c>
      <c r="L77" s="54" t="str">
        <v>东方</v>
      </c>
      <c r="M77" s="80" t="str">
        <v>2025.7.15，货到现场1个月付至到货金额95%，供货完成提供5%两年银行质保函</v>
      </c>
    </row>
    <row r="78" ht="28" spans="1:13">
      <c r="A78" s="54">
        <v>0</v>
      </c>
      <c r="B78" s="54" t="str">
        <v>自耦</v>
      </c>
      <c r="C78" s="54" t="str">
        <v>GAK80</v>
      </c>
      <c r="D78" s="54">
        <v>0</v>
      </c>
      <c r="E78" s="54">
        <v>0</v>
      </c>
      <c r="F78" s="54">
        <v>0</v>
      </c>
      <c r="G78" s="54">
        <v>0</v>
      </c>
      <c r="H78" s="54">
        <v>3</v>
      </c>
      <c r="I78" s="54">
        <v>0.13</v>
      </c>
      <c r="J78" s="54">
        <v>620</v>
      </c>
      <c r="K78" s="54">
        <v>1860</v>
      </c>
      <c r="L78" s="54" t="str">
        <v>东方</v>
      </c>
      <c r="M78" s="80" t="str">
        <v>2025.7.15，货到现场1个月付至到货金额95%，供货完成提供5%两年银行质保函</v>
      </c>
    </row>
    <row r="79" ht="28" spans="1:13">
      <c r="A79" s="54">
        <v>0</v>
      </c>
      <c r="B79" s="54" t="str">
        <v>导杆</v>
      </c>
      <c r="C79" s="54" t="str">
        <v>32*1.2</v>
      </c>
      <c r="D79" s="54">
        <v>0</v>
      </c>
      <c r="E79" s="54">
        <v>0</v>
      </c>
      <c r="F79" s="54">
        <v>0</v>
      </c>
      <c r="G79" s="54">
        <v>0</v>
      </c>
      <c r="H79" s="54">
        <v>3</v>
      </c>
      <c r="I79" s="54">
        <v>0.13</v>
      </c>
      <c r="J79" s="54">
        <v>190</v>
      </c>
      <c r="K79" s="54">
        <v>570</v>
      </c>
      <c r="L79" s="54" t="str">
        <v>东方</v>
      </c>
      <c r="M79" s="80" t="str">
        <v>2025.7.15，货到现场1个月付至到货金额95%，供货完成提供5%两年银行质保函</v>
      </c>
    </row>
    <row r="80" ht="28" spans="1:13">
      <c r="A80" s="54">
        <v>0</v>
      </c>
      <c r="B80" s="54" t="str">
        <v>链条</v>
      </c>
      <c r="C80" s="54" t="str">
        <v>6mm</v>
      </c>
      <c r="D80" s="54">
        <v>0</v>
      </c>
      <c r="E80" s="54">
        <v>0</v>
      </c>
      <c r="F80" s="54">
        <v>0</v>
      </c>
      <c r="G80" s="54">
        <v>0</v>
      </c>
      <c r="H80" s="54">
        <v>3</v>
      </c>
      <c r="I80" s="54">
        <v>0.13</v>
      </c>
      <c r="J80" s="54">
        <v>60</v>
      </c>
      <c r="K80" s="54">
        <v>180</v>
      </c>
      <c r="L80" s="54" t="str">
        <v>东方</v>
      </c>
      <c r="M80" s="80" t="str">
        <v>2025.7.15，货到现场1个月付至到货金额95%，供货完成提供5%两年银行质保函</v>
      </c>
    </row>
    <row r="81" ht="28" spans="1:13">
      <c r="A81" s="54">
        <v>0</v>
      </c>
      <c r="B81" s="54" t="str">
        <v>浮球</v>
      </c>
      <c r="C81" s="54" t="str">
        <v>/</v>
      </c>
      <c r="D81" s="54">
        <v>0</v>
      </c>
      <c r="E81" s="54">
        <v>0</v>
      </c>
      <c r="F81" s="54">
        <v>0</v>
      </c>
      <c r="G81" s="54">
        <v>0</v>
      </c>
      <c r="H81" s="54">
        <v>3</v>
      </c>
      <c r="I81" s="54">
        <v>0.13</v>
      </c>
      <c r="J81" s="54">
        <v>70</v>
      </c>
      <c r="K81" s="54">
        <v>210</v>
      </c>
      <c r="L81" s="54" t="str">
        <v>东方</v>
      </c>
      <c r="M81" s="80" t="str">
        <v>2025.7.15，货到现场1个月付至到货金额95%，供货完成提供5%两年银行质保函</v>
      </c>
    </row>
    <row r="82" ht="28" spans="1:13">
      <c r="A82" s="54">
        <v>17</v>
      </c>
      <c r="B82" s="54" t="str">
        <v>B1卸货区集水井排水泵</v>
      </c>
      <c r="C82" s="54" t="str">
        <v>50WQ11072</v>
      </c>
      <c r="D82" s="54">
        <v>15</v>
      </c>
      <c r="E82" s="54">
        <v>20</v>
      </c>
      <c r="F82" s="54">
        <v>2840</v>
      </c>
      <c r="G82" s="54">
        <v>2.2</v>
      </c>
      <c r="H82" s="54">
        <v>2</v>
      </c>
      <c r="I82" s="54">
        <v>0.13</v>
      </c>
      <c r="J82" s="54">
        <v>1650</v>
      </c>
      <c r="K82" s="54">
        <v>3300</v>
      </c>
      <c r="L82" s="54" t="str">
        <v>东方</v>
      </c>
      <c r="M82" s="80" t="str">
        <v>2025.7.15，货到现场1个月付至到货金额95%，供货完成提供5%两年银行质保函</v>
      </c>
    </row>
    <row r="83" ht="28" spans="1:13">
      <c r="A83" s="54">
        <v>0</v>
      </c>
      <c r="B83" s="54" t="str">
        <v>自耦</v>
      </c>
      <c r="C83" s="54" t="str">
        <v>GAK50</v>
      </c>
      <c r="D83" s="54">
        <v>0</v>
      </c>
      <c r="E83" s="54">
        <v>0</v>
      </c>
      <c r="F83" s="54">
        <v>0</v>
      </c>
      <c r="G83" s="54">
        <v>0</v>
      </c>
      <c r="H83" s="54">
        <v>2</v>
      </c>
      <c r="I83" s="54">
        <v>0.13</v>
      </c>
      <c r="J83" s="54">
        <v>400</v>
      </c>
      <c r="K83" s="54">
        <v>800</v>
      </c>
      <c r="L83" s="54" t="str">
        <v>东方</v>
      </c>
      <c r="M83" s="80" t="str">
        <v>2025.7.15，货到现场1个月付至到货金额95%，供货完成提供5%两年银行质保函</v>
      </c>
    </row>
    <row r="84" ht="28" spans="1:13">
      <c r="A84" s="54">
        <v>0</v>
      </c>
      <c r="B84" s="54" t="str">
        <v>导杆</v>
      </c>
      <c r="C84" s="54" t="str">
        <v>32*1.2</v>
      </c>
      <c r="D84" s="54">
        <v>0</v>
      </c>
      <c r="E84" s="54">
        <v>0</v>
      </c>
      <c r="F84" s="54">
        <v>0</v>
      </c>
      <c r="G84" s="54">
        <v>0</v>
      </c>
      <c r="H84" s="54">
        <v>2</v>
      </c>
      <c r="I84" s="54">
        <v>0.13</v>
      </c>
      <c r="J84" s="54">
        <v>190</v>
      </c>
      <c r="K84" s="54">
        <v>380</v>
      </c>
      <c r="L84" s="54" t="str">
        <v>东方</v>
      </c>
      <c r="M84" s="80" t="str">
        <v>2025.7.15，货到现场1个月付至到货金额95%，供货完成提供5%两年银行质保函</v>
      </c>
    </row>
    <row r="85" ht="28" spans="1:13">
      <c r="A85" s="54">
        <v>0</v>
      </c>
      <c r="B85" s="54" t="str">
        <v>链条</v>
      </c>
      <c r="C85" s="54" t="str">
        <v>6mm</v>
      </c>
      <c r="D85" s="54">
        <v>0</v>
      </c>
      <c r="E85" s="54">
        <v>0</v>
      </c>
      <c r="F85" s="54">
        <v>0</v>
      </c>
      <c r="G85" s="54">
        <v>0</v>
      </c>
      <c r="H85" s="54">
        <v>2</v>
      </c>
      <c r="I85" s="54">
        <v>0.13</v>
      </c>
      <c r="J85" s="54">
        <v>60</v>
      </c>
      <c r="K85" s="54">
        <v>120</v>
      </c>
      <c r="L85" s="54" t="str">
        <v>东方</v>
      </c>
      <c r="M85" s="80" t="str">
        <v>2025.7.15，货到现场1个月付至到货金额95%，供货完成提供5%两年银行质保函</v>
      </c>
    </row>
    <row r="86" ht="28" spans="1:13">
      <c r="A86" s="54">
        <v>0</v>
      </c>
      <c r="B86" s="54" t="str">
        <v>浮球</v>
      </c>
      <c r="C86" s="54" t="str">
        <v>/</v>
      </c>
      <c r="D86" s="54">
        <v>0</v>
      </c>
      <c r="E86" s="54">
        <v>0</v>
      </c>
      <c r="F86" s="54">
        <v>0</v>
      </c>
      <c r="G86" s="54">
        <v>0</v>
      </c>
      <c r="H86" s="54">
        <v>2</v>
      </c>
      <c r="I86" s="54">
        <v>0.13</v>
      </c>
      <c r="J86" s="54">
        <v>70</v>
      </c>
      <c r="K86" s="54">
        <v>140</v>
      </c>
      <c r="L86" s="54" t="str">
        <v>东方</v>
      </c>
      <c r="M86" s="80" t="str">
        <v>2025.7.15，货到现场1个月付至到货金额95%，供货完成提供5%两年银行质保函</v>
      </c>
    </row>
    <row r="87" ht="28" spans="1:13">
      <c r="A87" s="54">
        <v>18</v>
      </c>
      <c r="B87" s="54" t="str">
        <v>B1垃圾房集水井排水泵</v>
      </c>
      <c r="C87" s="54" t="str">
        <v>50WQ11072</v>
      </c>
      <c r="D87" s="54">
        <v>15</v>
      </c>
      <c r="E87" s="54">
        <v>20</v>
      </c>
      <c r="F87" s="54">
        <v>2840</v>
      </c>
      <c r="G87" s="54">
        <v>2.2</v>
      </c>
      <c r="H87" s="54">
        <v>2</v>
      </c>
      <c r="I87" s="54">
        <v>0.13</v>
      </c>
      <c r="J87" s="54">
        <v>1650</v>
      </c>
      <c r="K87" s="54">
        <v>3300</v>
      </c>
      <c r="L87" s="54" t="str">
        <v>东方</v>
      </c>
      <c r="M87" s="80" t="str">
        <v>2025.7.15，货到现场1个月付至到货金额95%，供货完成提供5%两年银行质保函</v>
      </c>
    </row>
    <row r="88" ht="28" spans="1:13">
      <c r="A88" s="54">
        <v>0</v>
      </c>
      <c r="B88" s="54" t="str">
        <v>自耦</v>
      </c>
      <c r="C88" s="54" t="str">
        <v>GAK50</v>
      </c>
      <c r="D88" s="54">
        <v>0</v>
      </c>
      <c r="E88" s="54">
        <v>0</v>
      </c>
      <c r="F88" s="54">
        <v>0</v>
      </c>
      <c r="G88" s="54">
        <v>0</v>
      </c>
      <c r="H88" s="54">
        <v>2</v>
      </c>
      <c r="I88" s="54">
        <v>0.13</v>
      </c>
      <c r="J88" s="54">
        <v>400</v>
      </c>
      <c r="K88" s="54">
        <v>800</v>
      </c>
      <c r="L88" s="54" t="str">
        <v>东方</v>
      </c>
      <c r="M88" s="80" t="str">
        <v>2025.7.15，货到现场1个月付至到货金额95%，供货完成提供5%两年银行质保函</v>
      </c>
    </row>
    <row r="89" ht="28" spans="1:13">
      <c r="A89" s="54">
        <v>0</v>
      </c>
      <c r="B89" s="54" t="str">
        <v>导杆</v>
      </c>
      <c r="C89" s="54" t="str">
        <v>32*1.2</v>
      </c>
      <c r="D89" s="54">
        <v>0</v>
      </c>
      <c r="E89" s="54">
        <v>0</v>
      </c>
      <c r="F89" s="54">
        <v>0</v>
      </c>
      <c r="G89" s="54">
        <v>0</v>
      </c>
      <c r="H89" s="54">
        <v>2</v>
      </c>
      <c r="I89" s="54">
        <v>0.13</v>
      </c>
      <c r="J89" s="54">
        <v>190</v>
      </c>
      <c r="K89" s="54">
        <v>380</v>
      </c>
      <c r="L89" s="54" t="str">
        <v>东方</v>
      </c>
      <c r="M89" s="80" t="str">
        <v>2025.7.15，货到现场1个月付至到货金额95%，供货完成提供5%两年银行质保函</v>
      </c>
    </row>
    <row r="90" ht="28" spans="1:13">
      <c r="A90" s="54">
        <v>0</v>
      </c>
      <c r="B90" s="54" t="str">
        <v>链条</v>
      </c>
      <c r="C90" s="54" t="str">
        <v>6mm</v>
      </c>
      <c r="D90" s="54">
        <v>0</v>
      </c>
      <c r="E90" s="54">
        <v>0</v>
      </c>
      <c r="F90" s="54">
        <v>0</v>
      </c>
      <c r="G90" s="54">
        <v>0</v>
      </c>
      <c r="H90" s="54">
        <v>2</v>
      </c>
      <c r="I90" s="54">
        <v>0.13</v>
      </c>
      <c r="J90" s="54">
        <v>60</v>
      </c>
      <c r="K90" s="54">
        <v>120</v>
      </c>
      <c r="L90" s="54" t="str">
        <v>东方</v>
      </c>
      <c r="M90" s="80" t="str">
        <v>2025.7.15，货到现场1个月付至到货金额95%，供货完成提供5%两年银行质保函</v>
      </c>
    </row>
    <row r="91" ht="28" spans="1:13">
      <c r="A91" s="54">
        <v>0</v>
      </c>
      <c r="B91" s="54" t="str">
        <v>浮球</v>
      </c>
      <c r="C91" s="54" t="str">
        <v>/</v>
      </c>
      <c r="D91" s="54">
        <v>0</v>
      </c>
      <c r="E91" s="54">
        <v>0</v>
      </c>
      <c r="F91" s="54">
        <v>0</v>
      </c>
      <c r="G91" s="54">
        <v>0</v>
      </c>
      <c r="H91" s="54">
        <v>2</v>
      </c>
      <c r="I91" s="54">
        <v>0.13</v>
      </c>
      <c r="J91" s="54">
        <v>70</v>
      </c>
      <c r="K91" s="54">
        <v>140</v>
      </c>
      <c r="L91" s="54" t="str">
        <v>东方</v>
      </c>
      <c r="M91" s="80" t="str">
        <v>2025.7.15，货到现场1个月付至到货金额95%，供货完成提供5%两年银行质保函</v>
      </c>
    </row>
    <row r="92" ht="28" spans="1:13">
      <c r="A92" s="54">
        <v>19</v>
      </c>
      <c r="B92" s="54" t="str">
        <v>B2雨水机房集水井排水泵</v>
      </c>
      <c r="C92" s="54" t="str">
        <v>50WQ11103</v>
      </c>
      <c r="D92" s="54">
        <v>20</v>
      </c>
      <c r="E92" s="54">
        <v>20</v>
      </c>
      <c r="F92" s="54">
        <v>2840</v>
      </c>
      <c r="G92" s="54">
        <v>2.2</v>
      </c>
      <c r="H92" s="54">
        <v>2</v>
      </c>
      <c r="I92" s="54">
        <v>0.13</v>
      </c>
      <c r="J92" s="54">
        <v>1650</v>
      </c>
      <c r="K92" s="54">
        <v>3300</v>
      </c>
      <c r="L92" s="54" t="str">
        <v>东方</v>
      </c>
      <c r="M92" s="80" t="str">
        <v>2025.7.15，货到现场1个月付至到货金额95%，供货完成提供5%两年银行质保函</v>
      </c>
    </row>
    <row r="93" ht="28" spans="1:13">
      <c r="A93" s="54">
        <v>0</v>
      </c>
      <c r="B93" s="54" t="str">
        <v>自耦</v>
      </c>
      <c r="C93" s="54" t="str">
        <v>GAK50</v>
      </c>
      <c r="D93" s="54">
        <v>0</v>
      </c>
      <c r="E93" s="54">
        <v>0</v>
      </c>
      <c r="F93" s="54">
        <v>0</v>
      </c>
      <c r="G93" s="54">
        <v>0</v>
      </c>
      <c r="H93" s="54">
        <v>2</v>
      </c>
      <c r="I93" s="54">
        <v>0.13</v>
      </c>
      <c r="J93" s="54">
        <v>400</v>
      </c>
      <c r="K93" s="54">
        <v>800</v>
      </c>
      <c r="L93" s="54" t="str">
        <v>东方</v>
      </c>
      <c r="M93" s="80" t="str">
        <v>2025.7.15，货到现场1个月付至到货金额95%，供货完成提供5%两年银行质保函</v>
      </c>
    </row>
    <row r="94" ht="28" spans="1:13">
      <c r="A94" s="54">
        <v>0</v>
      </c>
      <c r="B94" s="54" t="str">
        <v>导杆</v>
      </c>
      <c r="C94" s="54" t="str">
        <v>32*1.2</v>
      </c>
      <c r="D94" s="54">
        <v>0</v>
      </c>
      <c r="E94" s="54">
        <v>0</v>
      </c>
      <c r="F94" s="54">
        <v>0</v>
      </c>
      <c r="G94" s="54">
        <v>0</v>
      </c>
      <c r="H94" s="54">
        <v>2</v>
      </c>
      <c r="I94" s="54">
        <v>0.13</v>
      </c>
      <c r="J94" s="54">
        <v>285</v>
      </c>
      <c r="K94" s="54">
        <v>570</v>
      </c>
      <c r="L94" s="54" t="str">
        <v>东方</v>
      </c>
      <c r="M94" s="80" t="str">
        <v>2025.7.15，货到现场1个月付至到货金额95%，供货完成提供5%两年银行质保函</v>
      </c>
    </row>
    <row r="95" ht="28" spans="1:13">
      <c r="A95" s="54">
        <v>0</v>
      </c>
      <c r="B95" s="54" t="str">
        <v>链条</v>
      </c>
      <c r="C95" s="54" t="str">
        <v>6mm</v>
      </c>
      <c r="D95" s="54">
        <v>0</v>
      </c>
      <c r="E95" s="54">
        <v>0</v>
      </c>
      <c r="F95" s="54">
        <v>0</v>
      </c>
      <c r="G95" s="54">
        <v>0</v>
      </c>
      <c r="H95" s="54">
        <v>2</v>
      </c>
      <c r="I95" s="54">
        <v>0.13</v>
      </c>
      <c r="J95" s="54">
        <v>95</v>
      </c>
      <c r="K95" s="54">
        <v>190</v>
      </c>
      <c r="L95" s="54" t="str">
        <v>东方</v>
      </c>
      <c r="M95" s="80" t="str">
        <v>2025.7.15，货到现场1个月付至到货金额95%，供货完成提供5%两年银行质保函</v>
      </c>
    </row>
    <row r="96" ht="28" spans="1:13">
      <c r="A96" s="54">
        <v>0</v>
      </c>
      <c r="B96" s="54" t="str">
        <v>浮球</v>
      </c>
      <c r="C96" s="54" t="str">
        <v>/</v>
      </c>
      <c r="D96" s="54">
        <v>0</v>
      </c>
      <c r="E96" s="54">
        <v>0</v>
      </c>
      <c r="F96" s="54">
        <v>0</v>
      </c>
      <c r="G96" s="54">
        <v>0</v>
      </c>
      <c r="H96" s="54">
        <v>2</v>
      </c>
      <c r="I96" s="54">
        <v>0.13</v>
      </c>
      <c r="J96" s="54">
        <v>70</v>
      </c>
      <c r="K96" s="54">
        <v>140</v>
      </c>
      <c r="L96" s="54" t="str">
        <v>东方</v>
      </c>
      <c r="M96" s="80" t="str">
        <v>2025.7.15，货到现场1个月付至到货金额95%，供货完成提供5%两年银行质保函</v>
      </c>
    </row>
    <row r="97" ht="28" spans="1:13">
      <c r="A97" s="54">
        <v>20</v>
      </c>
      <c r="B97" s="54" t="str">
        <v>B2隔油间集水井排水泵</v>
      </c>
      <c r="C97" s="54" t="str">
        <v>50WQ11101</v>
      </c>
      <c r="D97" s="54">
        <v>10</v>
      </c>
      <c r="E97" s="54">
        <v>18</v>
      </c>
      <c r="F97" s="54">
        <v>2840</v>
      </c>
      <c r="G97" s="54">
        <v>1.5</v>
      </c>
      <c r="H97" s="54">
        <v>2</v>
      </c>
      <c r="I97" s="54">
        <v>0.13</v>
      </c>
      <c r="J97" s="54">
        <v>1520</v>
      </c>
      <c r="K97" s="54">
        <v>3040</v>
      </c>
      <c r="L97" s="54" t="str">
        <v>东方</v>
      </c>
      <c r="M97" s="80" t="str">
        <v>2025.7.15，货到现场1个月付至到货金额95%，供货完成提供5%两年银行质保函</v>
      </c>
    </row>
    <row r="98" ht="28" spans="1:13">
      <c r="A98" s="54">
        <v>0</v>
      </c>
      <c r="B98" s="54" t="str">
        <v>自耦</v>
      </c>
      <c r="C98" s="54" t="str">
        <v>GAK50</v>
      </c>
      <c r="D98" s="54">
        <v>0</v>
      </c>
      <c r="E98" s="54">
        <v>0</v>
      </c>
      <c r="F98" s="54">
        <v>0</v>
      </c>
      <c r="G98" s="54">
        <v>0</v>
      </c>
      <c r="H98" s="54">
        <v>2</v>
      </c>
      <c r="I98" s="54">
        <v>0.13</v>
      </c>
      <c r="J98" s="54">
        <v>400</v>
      </c>
      <c r="K98" s="54">
        <v>800</v>
      </c>
      <c r="L98" s="54" t="str">
        <v>东方</v>
      </c>
      <c r="M98" s="80" t="str">
        <v>2025.7.15，货到现场1个月付至到货金额95%，供货完成提供5%两年银行质保函</v>
      </c>
    </row>
    <row r="99" ht="28" spans="1:13">
      <c r="A99" s="54">
        <v>0</v>
      </c>
      <c r="B99" s="54" t="str">
        <v>导杆</v>
      </c>
      <c r="C99" s="54" t="str">
        <v>32*1.2</v>
      </c>
      <c r="D99" s="54">
        <v>0</v>
      </c>
      <c r="E99" s="54">
        <v>0</v>
      </c>
      <c r="F99" s="54">
        <v>0</v>
      </c>
      <c r="G99" s="54">
        <v>0</v>
      </c>
      <c r="H99" s="54">
        <v>2</v>
      </c>
      <c r="I99" s="54">
        <v>0.13</v>
      </c>
      <c r="J99" s="54">
        <v>285</v>
      </c>
      <c r="K99" s="54">
        <v>570</v>
      </c>
      <c r="L99" s="54" t="str">
        <v>东方</v>
      </c>
      <c r="M99" s="80" t="str">
        <v>2025.7.15，货到现场1个月付至到货金额95%，供货完成提供5%两年银行质保函</v>
      </c>
    </row>
    <row r="100" ht="28" spans="1:13">
      <c r="A100" s="54">
        <v>0</v>
      </c>
      <c r="B100" s="54" t="str">
        <v>链条</v>
      </c>
      <c r="C100" s="54" t="str">
        <v>6mm</v>
      </c>
      <c r="D100" s="54">
        <v>0</v>
      </c>
      <c r="E100" s="54">
        <v>0</v>
      </c>
      <c r="F100" s="54">
        <v>0</v>
      </c>
      <c r="G100" s="54">
        <v>0</v>
      </c>
      <c r="H100" s="54">
        <v>2</v>
      </c>
      <c r="I100" s="54">
        <v>0.13</v>
      </c>
      <c r="J100" s="54">
        <v>95</v>
      </c>
      <c r="K100" s="54">
        <v>190</v>
      </c>
      <c r="L100" s="54" t="str">
        <v>东方</v>
      </c>
      <c r="M100" s="80" t="str">
        <v>2025.7.15，货到现场1个月付至到货金额95%，供货完成提供5%两年银行质保函</v>
      </c>
    </row>
    <row r="101" ht="28" spans="1:13">
      <c r="A101" s="54">
        <v>0</v>
      </c>
      <c r="B101" s="54" t="str">
        <v>浮球</v>
      </c>
      <c r="C101" s="54" t="str">
        <v>/</v>
      </c>
      <c r="D101" s="54">
        <v>0</v>
      </c>
      <c r="E101" s="54">
        <v>0</v>
      </c>
      <c r="F101" s="54">
        <v>0</v>
      </c>
      <c r="G101" s="54">
        <v>0</v>
      </c>
      <c r="H101" s="54">
        <v>2</v>
      </c>
      <c r="I101" s="54">
        <v>0.13</v>
      </c>
      <c r="J101" s="54">
        <v>70</v>
      </c>
      <c r="K101" s="54">
        <v>140</v>
      </c>
      <c r="L101" s="54" t="str">
        <v>东方</v>
      </c>
      <c r="M101" s="80" t="str">
        <v>2025.7.15，货到现场1个月付至到货金额95%，供货完成提供5%两年银行质保函</v>
      </c>
    </row>
    <row r="102" ht="28" spans="1:13">
      <c r="A102" s="54">
        <v>21</v>
      </c>
      <c r="B102" s="54" t="str">
        <v>B2隔油间集水井排水泵</v>
      </c>
      <c r="C102" s="54" t="str">
        <v>50WQ11101</v>
      </c>
      <c r="D102" s="54">
        <v>10</v>
      </c>
      <c r="E102" s="54">
        <v>18</v>
      </c>
      <c r="F102" s="54">
        <v>2840</v>
      </c>
      <c r="G102" s="54">
        <v>1.5</v>
      </c>
      <c r="H102" s="54">
        <v>2</v>
      </c>
      <c r="I102" s="54">
        <v>0.13</v>
      </c>
      <c r="J102" s="54">
        <v>1520</v>
      </c>
      <c r="K102" s="54">
        <v>3040</v>
      </c>
      <c r="L102" s="54" t="str">
        <v>东方</v>
      </c>
      <c r="M102" s="80" t="str">
        <v>2025.7.15，货到现场1个月付至到货金额95%，供货完成提供5%两年银行质保函</v>
      </c>
    </row>
    <row r="103" ht="28" spans="1:13">
      <c r="A103" s="54">
        <v>0</v>
      </c>
      <c r="B103" s="54" t="str">
        <v>自耦</v>
      </c>
      <c r="C103" s="54" t="str">
        <v>GAK50</v>
      </c>
      <c r="D103" s="54">
        <v>0</v>
      </c>
      <c r="E103" s="54">
        <v>0</v>
      </c>
      <c r="F103" s="54">
        <v>0</v>
      </c>
      <c r="G103" s="54">
        <v>0</v>
      </c>
      <c r="H103" s="54">
        <v>2</v>
      </c>
      <c r="I103" s="54">
        <v>0.13</v>
      </c>
      <c r="J103" s="54">
        <v>400</v>
      </c>
      <c r="K103" s="54">
        <v>800</v>
      </c>
      <c r="L103" s="54" t="str">
        <v>东方</v>
      </c>
      <c r="M103" s="80" t="str">
        <v>2025.7.15，货到现场1个月付至到货金额95%，供货完成提供5%两年银行质保函</v>
      </c>
    </row>
    <row r="104" ht="28" spans="1:13">
      <c r="A104" s="54">
        <v>0</v>
      </c>
      <c r="B104" s="54" t="str">
        <v>导杆</v>
      </c>
      <c r="C104" s="54" t="str">
        <v>32*1.2</v>
      </c>
      <c r="D104" s="54">
        <v>0</v>
      </c>
      <c r="E104" s="54">
        <v>0</v>
      </c>
      <c r="F104" s="54">
        <v>0</v>
      </c>
      <c r="G104" s="54">
        <v>0</v>
      </c>
      <c r="H104" s="54">
        <v>2</v>
      </c>
      <c r="I104" s="54">
        <v>0.13</v>
      </c>
      <c r="J104" s="54">
        <v>285</v>
      </c>
      <c r="K104" s="54">
        <v>570</v>
      </c>
      <c r="L104" s="54" t="str">
        <v>东方</v>
      </c>
      <c r="M104" s="80" t="str">
        <v>2025.7.15，货到现场1个月付至到货金额95%，供货完成提供5%两年银行质保函</v>
      </c>
    </row>
    <row r="105" ht="28" spans="1:13">
      <c r="A105" s="54">
        <v>0</v>
      </c>
      <c r="B105" s="54" t="str">
        <v>链条</v>
      </c>
      <c r="C105" s="54" t="str">
        <v>6mm</v>
      </c>
      <c r="D105" s="54">
        <v>0</v>
      </c>
      <c r="E105" s="54">
        <v>0</v>
      </c>
      <c r="F105" s="54">
        <v>0</v>
      </c>
      <c r="G105" s="54">
        <v>0</v>
      </c>
      <c r="H105" s="54">
        <v>2</v>
      </c>
      <c r="I105" s="54">
        <v>0.13</v>
      </c>
      <c r="J105" s="54">
        <v>95</v>
      </c>
      <c r="K105" s="54">
        <v>190</v>
      </c>
      <c r="L105" s="54" t="str">
        <v>东方</v>
      </c>
      <c r="M105" s="80" t="str">
        <v>2025.7.15，货到现场1个月付至到货金额95%，供货完成提供5%两年银行质保函</v>
      </c>
    </row>
    <row r="106" ht="28" spans="1:13">
      <c r="A106" s="54">
        <v>0</v>
      </c>
      <c r="B106" s="54" t="str">
        <v>浮球</v>
      </c>
      <c r="C106" s="54" t="str">
        <v>/</v>
      </c>
      <c r="D106" s="54">
        <v>0</v>
      </c>
      <c r="E106" s="54">
        <v>0</v>
      </c>
      <c r="F106" s="54">
        <v>0</v>
      </c>
      <c r="G106" s="54">
        <v>0</v>
      </c>
      <c r="H106" s="54">
        <v>2</v>
      </c>
      <c r="I106" s="54">
        <v>0.13</v>
      </c>
      <c r="J106" s="54">
        <v>70</v>
      </c>
      <c r="K106" s="54">
        <v>140</v>
      </c>
      <c r="L106" s="54" t="str">
        <v>东方</v>
      </c>
      <c r="M106" s="80" t="str">
        <v>2025.7.15，货到现场1个月付至到货金额95%，供货完成提供5%两年银行质保函</v>
      </c>
    </row>
    <row r="107" ht="28" spans="1:13">
      <c r="A107" s="54">
        <v>22</v>
      </c>
      <c r="B107" s="54" t="str">
        <v>B3地库冲洗集水井排水泵</v>
      </c>
      <c r="C107" s="54" t="str">
        <v>50WQ11064</v>
      </c>
      <c r="D107" s="54">
        <v>15</v>
      </c>
      <c r="E107" s="54">
        <v>25</v>
      </c>
      <c r="F107" s="54">
        <v>2840</v>
      </c>
      <c r="G107" s="54">
        <v>3</v>
      </c>
      <c r="H107" s="54">
        <v>2</v>
      </c>
      <c r="I107" s="54">
        <v>0.13</v>
      </c>
      <c r="J107" s="54">
        <v>2005</v>
      </c>
      <c r="K107" s="54">
        <v>4010</v>
      </c>
      <c r="L107" s="54" t="str">
        <v>东方</v>
      </c>
      <c r="M107" s="80" t="str">
        <v>2025.7.15，货到现场1个月付至到货金额95%，供货完成提供5%两年银行质保函</v>
      </c>
    </row>
    <row r="108" ht="28" spans="1:13">
      <c r="A108" s="54">
        <v>0</v>
      </c>
      <c r="B108" s="54" t="str">
        <v>自耦</v>
      </c>
      <c r="C108" s="54" t="str">
        <v>GAK50</v>
      </c>
      <c r="D108" s="54">
        <v>0</v>
      </c>
      <c r="E108" s="54">
        <v>0</v>
      </c>
      <c r="F108" s="54">
        <v>0</v>
      </c>
      <c r="G108" s="54">
        <v>0</v>
      </c>
      <c r="H108" s="54">
        <v>2</v>
      </c>
      <c r="I108" s="54">
        <v>0.13</v>
      </c>
      <c r="J108" s="54">
        <v>400</v>
      </c>
      <c r="K108" s="54">
        <v>800</v>
      </c>
      <c r="L108" s="54" t="str">
        <v>东方</v>
      </c>
      <c r="M108" s="80" t="str">
        <v>2025.7.15，货到现场1个月付至到货金额95%，供货完成提供5%两年银行质保函</v>
      </c>
    </row>
    <row r="109" ht="28" spans="1:13">
      <c r="A109" s="54">
        <v>0</v>
      </c>
      <c r="B109" s="54" t="str">
        <v>导杆</v>
      </c>
      <c r="C109" s="54" t="str">
        <v>32*1.2</v>
      </c>
      <c r="D109" s="54">
        <v>0</v>
      </c>
      <c r="E109" s="54">
        <v>0</v>
      </c>
      <c r="F109" s="54">
        <v>0</v>
      </c>
      <c r="G109" s="54">
        <v>0</v>
      </c>
      <c r="H109" s="54">
        <v>2</v>
      </c>
      <c r="I109" s="54">
        <v>0.13</v>
      </c>
      <c r="J109" s="54">
        <v>285</v>
      </c>
      <c r="K109" s="54">
        <v>570</v>
      </c>
      <c r="L109" s="54" t="str">
        <v>东方</v>
      </c>
      <c r="M109" s="80" t="str">
        <v>2025.7.15，货到现场1个月付至到货金额95%，供货完成提供5%两年银行质保函</v>
      </c>
    </row>
    <row r="110" ht="28" spans="1:13">
      <c r="A110" s="54">
        <v>0</v>
      </c>
      <c r="B110" s="54" t="str">
        <v>链条</v>
      </c>
      <c r="C110" s="54" t="str">
        <v>6mm</v>
      </c>
      <c r="D110" s="54">
        <v>0</v>
      </c>
      <c r="E110" s="54">
        <v>0</v>
      </c>
      <c r="F110" s="54">
        <v>0</v>
      </c>
      <c r="G110" s="54">
        <v>0</v>
      </c>
      <c r="H110" s="54">
        <v>2</v>
      </c>
      <c r="I110" s="54">
        <v>0.13</v>
      </c>
      <c r="J110" s="54">
        <v>95</v>
      </c>
      <c r="K110" s="54">
        <v>190</v>
      </c>
      <c r="L110" s="54" t="str">
        <v>东方</v>
      </c>
      <c r="M110" s="80" t="str">
        <v>2025.7.15，货到现场1个月付至到货金额95%，供货完成提供5%两年银行质保函</v>
      </c>
    </row>
    <row r="111" ht="28" spans="1:13">
      <c r="A111" s="54">
        <v>0</v>
      </c>
      <c r="B111" s="54" t="str">
        <v>浮球</v>
      </c>
      <c r="C111" s="54" t="str">
        <v>/</v>
      </c>
      <c r="D111" s="54">
        <v>0</v>
      </c>
      <c r="E111" s="54">
        <v>0</v>
      </c>
      <c r="F111" s="54">
        <v>0</v>
      </c>
      <c r="G111" s="54">
        <v>0</v>
      </c>
      <c r="H111" s="54">
        <v>2</v>
      </c>
      <c r="I111" s="54">
        <v>0.13</v>
      </c>
      <c r="J111" s="54">
        <v>70</v>
      </c>
      <c r="K111" s="54">
        <v>140</v>
      </c>
      <c r="L111" s="54" t="str">
        <v>东方</v>
      </c>
      <c r="M111" s="80" t="str">
        <v>2025.7.15，货到现场1个月付至到货金额95%，供货完成提供5%两年银行质保函</v>
      </c>
    </row>
    <row r="112" ht="28" spans="1:13">
      <c r="A112" s="54">
        <v>23</v>
      </c>
      <c r="B112" s="54" t="str">
        <v>B3普通电梯集水井排水泵</v>
      </c>
      <c r="C112" s="54" t="str">
        <v>50WQ11053</v>
      </c>
      <c r="D112" s="54">
        <v>10</v>
      </c>
      <c r="E112" s="54">
        <v>30</v>
      </c>
      <c r="F112" s="54">
        <v>2840</v>
      </c>
      <c r="G112" s="54">
        <v>3</v>
      </c>
      <c r="H112" s="54">
        <v>1</v>
      </c>
      <c r="I112" s="54">
        <v>0.13</v>
      </c>
      <c r="J112" s="54">
        <v>2265</v>
      </c>
      <c r="K112" s="54">
        <v>2265</v>
      </c>
      <c r="L112" s="54" t="str">
        <v>东方</v>
      </c>
      <c r="M112" s="80" t="str">
        <v>2025.7.15，货到现场1个月付至到货金额95%，供货完成提供5%两年银行质保函</v>
      </c>
    </row>
    <row r="113" ht="28" spans="1:13">
      <c r="A113" s="54">
        <v>0</v>
      </c>
      <c r="B113" s="54" t="str">
        <v>自耦</v>
      </c>
      <c r="C113" s="54" t="str">
        <v>GAK50</v>
      </c>
      <c r="D113" s="54">
        <v>0</v>
      </c>
      <c r="E113" s="54">
        <v>0</v>
      </c>
      <c r="F113" s="54">
        <v>0</v>
      </c>
      <c r="G113" s="54">
        <v>0</v>
      </c>
      <c r="H113" s="54">
        <v>1</v>
      </c>
      <c r="I113" s="54">
        <v>0.13</v>
      </c>
      <c r="J113" s="54">
        <v>400</v>
      </c>
      <c r="K113" s="54">
        <v>400</v>
      </c>
      <c r="L113" s="54" t="str">
        <v>东方</v>
      </c>
      <c r="M113" s="80" t="str">
        <v>2025.7.15，货到现场1个月付至到货金额95%，供货完成提供5%两年银行质保函</v>
      </c>
    </row>
    <row r="114" ht="28" spans="1:13">
      <c r="A114" s="54">
        <v>0</v>
      </c>
      <c r="B114" s="54" t="str">
        <v>导杆</v>
      </c>
      <c r="C114" s="54" t="str">
        <v>32*1.2</v>
      </c>
      <c r="D114" s="54">
        <v>0</v>
      </c>
      <c r="E114" s="54">
        <v>0</v>
      </c>
      <c r="F114" s="54">
        <v>0</v>
      </c>
      <c r="G114" s="54">
        <v>0</v>
      </c>
      <c r="H114" s="54">
        <v>1</v>
      </c>
      <c r="I114" s="54">
        <v>0.13</v>
      </c>
      <c r="J114" s="54">
        <v>665</v>
      </c>
      <c r="K114" s="54">
        <v>665</v>
      </c>
      <c r="L114" s="54" t="str">
        <v>东方</v>
      </c>
      <c r="M114" s="80" t="str">
        <v>2025.7.15，货到现场1个月付至到货金额95%，供货完成提供5%两年银行质保函</v>
      </c>
    </row>
    <row r="115" ht="28" spans="1:13">
      <c r="A115" s="54">
        <v>0</v>
      </c>
      <c r="B115" s="54" t="str">
        <v>链条</v>
      </c>
      <c r="C115" s="54" t="str">
        <v>6mm</v>
      </c>
      <c r="D115" s="54">
        <v>0</v>
      </c>
      <c r="E115" s="54">
        <v>0</v>
      </c>
      <c r="F115" s="54">
        <v>0</v>
      </c>
      <c r="G115" s="54">
        <v>0</v>
      </c>
      <c r="H115" s="54">
        <v>1</v>
      </c>
      <c r="I115" s="54">
        <v>0.13</v>
      </c>
      <c r="J115" s="54">
        <v>210</v>
      </c>
      <c r="K115" s="54">
        <v>210</v>
      </c>
      <c r="L115" s="54" t="str">
        <v>东方</v>
      </c>
      <c r="M115" s="80" t="str">
        <v>2025.7.15，货到现场1个月付至到货金额95%，供货完成提供5%两年银行质保函</v>
      </c>
    </row>
    <row r="116" ht="28" spans="1:13">
      <c r="A116" s="54">
        <v>0</v>
      </c>
      <c r="B116" s="54" t="str">
        <v>浮球</v>
      </c>
      <c r="C116" s="54" t="str">
        <v>/</v>
      </c>
      <c r="D116" s="54">
        <v>0</v>
      </c>
      <c r="E116" s="54">
        <v>0</v>
      </c>
      <c r="F116" s="54">
        <v>0</v>
      </c>
      <c r="G116" s="54">
        <v>0</v>
      </c>
      <c r="H116" s="54">
        <v>1</v>
      </c>
      <c r="I116" s="54">
        <v>0.13</v>
      </c>
      <c r="J116" s="54">
        <v>70</v>
      </c>
      <c r="K116" s="54">
        <v>70</v>
      </c>
      <c r="L116" s="54" t="str">
        <v>东方</v>
      </c>
      <c r="M116" s="80" t="str">
        <v>2025.7.15，货到现场1个月付至到货金额95%，供货完成提供5%两年银行质保函</v>
      </c>
    </row>
    <row r="117" ht="28" spans="1:13">
      <c r="A117" s="54">
        <v>24</v>
      </c>
      <c r="B117" s="54" t="str">
        <v>B3地库冲洗集水井排水泵</v>
      </c>
      <c r="C117" s="54" t="str">
        <v>50WQ11072</v>
      </c>
      <c r="D117" s="54">
        <v>15</v>
      </c>
      <c r="E117" s="54">
        <v>20</v>
      </c>
      <c r="F117" s="54">
        <v>2840</v>
      </c>
      <c r="G117" s="54">
        <v>2.2</v>
      </c>
      <c r="H117" s="54">
        <v>2</v>
      </c>
      <c r="I117" s="54">
        <v>0.13</v>
      </c>
      <c r="J117" s="54">
        <v>1650</v>
      </c>
      <c r="K117" s="54">
        <v>3300</v>
      </c>
      <c r="L117" s="54" t="str">
        <v>东方</v>
      </c>
      <c r="M117" s="80" t="str">
        <v>2025.7.15，货到现场1个月付至到货金额95%，供货完成提供5%两年银行质保函</v>
      </c>
    </row>
    <row r="118" ht="28" spans="1:13">
      <c r="A118" s="54">
        <v>0</v>
      </c>
      <c r="B118" s="54" t="str">
        <v>自耦</v>
      </c>
      <c r="C118" s="54" t="str">
        <v>GAK50</v>
      </c>
      <c r="D118" s="54">
        <v>0</v>
      </c>
      <c r="E118" s="54">
        <v>0</v>
      </c>
      <c r="F118" s="54">
        <v>0</v>
      </c>
      <c r="G118" s="54">
        <v>0</v>
      </c>
      <c r="H118" s="54">
        <v>2</v>
      </c>
      <c r="I118" s="54">
        <v>0.13</v>
      </c>
      <c r="J118" s="54">
        <v>400</v>
      </c>
      <c r="K118" s="54">
        <v>800</v>
      </c>
      <c r="L118" s="54" t="str">
        <v>东方</v>
      </c>
      <c r="M118" s="80" t="str">
        <v>2025.7.15，货到现场1个月付至到货金额95%，供货完成提供5%两年银行质保函</v>
      </c>
    </row>
    <row r="119" ht="28" spans="1:13">
      <c r="A119" s="54">
        <v>0</v>
      </c>
      <c r="B119" s="54" t="str">
        <v>导杆</v>
      </c>
      <c r="C119" s="54" t="str">
        <v>32*1.2</v>
      </c>
      <c r="D119" s="54">
        <v>0</v>
      </c>
      <c r="E119" s="54">
        <v>0</v>
      </c>
      <c r="F119" s="54">
        <v>0</v>
      </c>
      <c r="G119" s="54">
        <v>0</v>
      </c>
      <c r="H119" s="54">
        <v>2</v>
      </c>
      <c r="I119" s="54">
        <v>0.13</v>
      </c>
      <c r="J119" s="54">
        <v>285</v>
      </c>
      <c r="K119" s="54">
        <v>570</v>
      </c>
      <c r="L119" s="54" t="str">
        <v>东方</v>
      </c>
      <c r="M119" s="80" t="str">
        <v>2025.7.15，货到现场1个月付至到货金额95%，供货完成提供5%两年银行质保函</v>
      </c>
    </row>
    <row r="120" ht="28" spans="1:13">
      <c r="A120" s="54">
        <v>0</v>
      </c>
      <c r="B120" s="54" t="str">
        <v>链条</v>
      </c>
      <c r="C120" s="54" t="str">
        <v>6mm</v>
      </c>
      <c r="D120" s="54">
        <v>0</v>
      </c>
      <c r="E120" s="54">
        <v>0</v>
      </c>
      <c r="F120" s="54">
        <v>0</v>
      </c>
      <c r="G120" s="54">
        <v>0</v>
      </c>
      <c r="H120" s="54">
        <v>2</v>
      </c>
      <c r="I120" s="54">
        <v>0.13</v>
      </c>
      <c r="J120" s="54">
        <v>95</v>
      </c>
      <c r="K120" s="54">
        <v>190</v>
      </c>
      <c r="L120" s="54" t="str">
        <v>东方</v>
      </c>
      <c r="M120" s="80" t="str">
        <v>2025.7.15，货到现场1个月付至到货金额95%，供货完成提供5%两年银行质保函</v>
      </c>
    </row>
    <row r="121" ht="28" spans="1:13">
      <c r="A121" s="54">
        <v>0</v>
      </c>
      <c r="B121" s="54" t="str">
        <v>浮球</v>
      </c>
      <c r="C121" s="54" t="str">
        <v>/</v>
      </c>
      <c r="D121" s="54">
        <v>0</v>
      </c>
      <c r="E121" s="54">
        <v>0</v>
      </c>
      <c r="F121" s="54">
        <v>0</v>
      </c>
      <c r="G121" s="54">
        <v>0</v>
      </c>
      <c r="H121" s="54">
        <v>2</v>
      </c>
      <c r="I121" s="54">
        <v>0.13</v>
      </c>
      <c r="J121" s="54">
        <v>70</v>
      </c>
      <c r="K121" s="54">
        <v>140</v>
      </c>
      <c r="L121" s="54" t="str">
        <v>东方</v>
      </c>
      <c r="M121" s="80" t="str">
        <v>2025.7.15，货到现场1个月付至到货金额95%，供货完成提供5%两年银行质保函</v>
      </c>
    </row>
    <row r="122" ht="28" spans="1:13">
      <c r="A122" s="54">
        <v>25</v>
      </c>
      <c r="B122" s="54" t="str">
        <v>B3地库冲洗集水井排水泵</v>
      </c>
      <c r="C122" s="54" t="str">
        <v>50WQ11064</v>
      </c>
      <c r="D122" s="54">
        <v>15</v>
      </c>
      <c r="E122" s="54">
        <v>25</v>
      </c>
      <c r="F122" s="54">
        <v>2840</v>
      </c>
      <c r="G122" s="54">
        <v>3</v>
      </c>
      <c r="H122" s="54">
        <v>2</v>
      </c>
      <c r="I122" s="54">
        <v>0.13</v>
      </c>
      <c r="J122" s="54">
        <v>2005</v>
      </c>
      <c r="K122" s="54">
        <v>4010</v>
      </c>
      <c r="L122" s="54" t="str">
        <v>东方</v>
      </c>
      <c r="M122" s="80" t="str">
        <v>2025.7.15，货到现场1个月付至到货金额95%，供货完成提供5%两年银行质保函</v>
      </c>
    </row>
    <row r="123" ht="28" spans="1:13">
      <c r="A123" s="54">
        <v>0</v>
      </c>
      <c r="B123" s="54" t="str">
        <v>自耦</v>
      </c>
      <c r="C123" s="54" t="str">
        <v>GAK50</v>
      </c>
      <c r="D123" s="54">
        <v>0</v>
      </c>
      <c r="E123" s="54">
        <v>0</v>
      </c>
      <c r="F123" s="54">
        <v>0</v>
      </c>
      <c r="G123" s="54">
        <v>0</v>
      </c>
      <c r="H123" s="54">
        <v>2</v>
      </c>
      <c r="I123" s="54">
        <v>0.13</v>
      </c>
      <c r="J123" s="54">
        <v>400</v>
      </c>
      <c r="K123" s="54">
        <v>800</v>
      </c>
      <c r="L123" s="54" t="str">
        <v>东方</v>
      </c>
      <c r="M123" s="80" t="str">
        <v>2025.7.15，货到现场1个月付至到货金额95%，供货完成提供5%两年银行质保函</v>
      </c>
    </row>
    <row r="124" ht="28" spans="1:13">
      <c r="A124" s="54">
        <v>0</v>
      </c>
      <c r="B124" s="54" t="str">
        <v>导杆</v>
      </c>
      <c r="C124" s="54" t="str">
        <v>32*1.2</v>
      </c>
      <c r="D124" s="54">
        <v>0</v>
      </c>
      <c r="E124" s="54">
        <v>0</v>
      </c>
      <c r="F124" s="54">
        <v>0</v>
      </c>
      <c r="G124" s="54">
        <v>0</v>
      </c>
      <c r="H124" s="54">
        <v>2</v>
      </c>
      <c r="I124" s="54">
        <v>0.13</v>
      </c>
      <c r="J124" s="54">
        <v>285</v>
      </c>
      <c r="K124" s="54">
        <v>570</v>
      </c>
      <c r="L124" s="54" t="str">
        <v>东方</v>
      </c>
      <c r="M124" s="80" t="str">
        <v>2025.7.15，货到现场1个月付至到货金额95%，供货完成提供5%两年银行质保函</v>
      </c>
    </row>
    <row r="125" ht="28" spans="1:13">
      <c r="A125" s="54">
        <v>0</v>
      </c>
      <c r="B125" s="54" t="str">
        <v>链条</v>
      </c>
      <c r="C125" s="54" t="str">
        <v>6mm</v>
      </c>
      <c r="D125" s="54">
        <v>0</v>
      </c>
      <c r="E125" s="54">
        <v>0</v>
      </c>
      <c r="F125" s="54">
        <v>0</v>
      </c>
      <c r="G125" s="54">
        <v>0</v>
      </c>
      <c r="H125" s="54">
        <v>2</v>
      </c>
      <c r="I125" s="54">
        <v>0.13</v>
      </c>
      <c r="J125" s="54">
        <v>95</v>
      </c>
      <c r="K125" s="54">
        <v>190</v>
      </c>
      <c r="L125" s="54" t="str">
        <v>东方</v>
      </c>
      <c r="M125" s="80" t="str">
        <v>2025.7.15，货到现场1个月付至到货金额95%，供货完成提供5%两年银行质保函</v>
      </c>
    </row>
    <row r="126" ht="28" spans="1:13">
      <c r="A126" s="54">
        <v>0</v>
      </c>
      <c r="B126" s="54" t="str">
        <v>浮球</v>
      </c>
      <c r="C126" s="54" t="str">
        <v>/</v>
      </c>
      <c r="D126" s="54">
        <v>0</v>
      </c>
      <c r="E126" s="54">
        <v>0</v>
      </c>
      <c r="F126" s="54">
        <v>0</v>
      </c>
      <c r="G126" s="54">
        <v>0</v>
      </c>
      <c r="H126" s="54">
        <v>2</v>
      </c>
      <c r="I126" s="54">
        <v>0.13</v>
      </c>
      <c r="J126" s="54">
        <v>70</v>
      </c>
      <c r="K126" s="54">
        <v>140</v>
      </c>
      <c r="L126" s="54" t="str">
        <v>东方</v>
      </c>
      <c r="M126" s="80" t="str">
        <v>2025.7.15，货到现场1个月付至到货金额95%，供货完成提供5%两年银行质保函</v>
      </c>
    </row>
    <row r="127" ht="28" spans="1:13">
      <c r="A127" s="54">
        <v>26</v>
      </c>
      <c r="B127" s="54" t="str">
        <v>B3地库冲洗集水井排水泵</v>
      </c>
      <c r="C127" s="54" t="str">
        <v>50WQ11064</v>
      </c>
      <c r="D127" s="54">
        <v>15</v>
      </c>
      <c r="E127" s="54">
        <v>25</v>
      </c>
      <c r="F127" s="54">
        <v>2840</v>
      </c>
      <c r="G127" s="54">
        <v>3</v>
      </c>
      <c r="H127" s="54">
        <v>2</v>
      </c>
      <c r="I127" s="54">
        <v>0.13</v>
      </c>
      <c r="J127" s="54">
        <v>2005</v>
      </c>
      <c r="K127" s="54">
        <v>4010</v>
      </c>
      <c r="L127" s="54" t="str">
        <v>东方</v>
      </c>
      <c r="M127" s="80" t="str">
        <v>2025.7.15，货到现场1个月付至到货金额95%，供货完成提供5%两年银行质保函</v>
      </c>
    </row>
    <row r="128" ht="28" spans="1:13">
      <c r="A128" s="54">
        <v>0</v>
      </c>
      <c r="B128" s="54" t="str">
        <v>自耦</v>
      </c>
      <c r="C128" s="54" t="str">
        <v>GAK50</v>
      </c>
      <c r="D128" s="54">
        <v>0</v>
      </c>
      <c r="E128" s="54">
        <v>0</v>
      </c>
      <c r="F128" s="54">
        <v>0</v>
      </c>
      <c r="G128" s="54">
        <v>0</v>
      </c>
      <c r="H128" s="54">
        <v>2</v>
      </c>
      <c r="I128" s="54">
        <v>0.13</v>
      </c>
      <c r="J128" s="54">
        <v>400</v>
      </c>
      <c r="K128" s="54">
        <v>800</v>
      </c>
      <c r="L128" s="54" t="str">
        <v>东方</v>
      </c>
      <c r="M128" s="80" t="str">
        <v>2025.7.15，货到现场1个月付至到货金额95%，供货完成提供5%两年银行质保函</v>
      </c>
    </row>
    <row r="129" ht="28" spans="1:13">
      <c r="A129" s="54">
        <v>0</v>
      </c>
      <c r="B129" s="54" t="str">
        <v>导杆</v>
      </c>
      <c r="C129" s="54" t="str">
        <v>32*1.2</v>
      </c>
      <c r="D129" s="54">
        <v>0</v>
      </c>
      <c r="E129" s="54">
        <v>0</v>
      </c>
      <c r="F129" s="54">
        <v>0</v>
      </c>
      <c r="G129" s="54">
        <v>0</v>
      </c>
      <c r="H129" s="54">
        <v>2</v>
      </c>
      <c r="I129" s="54">
        <v>0.13</v>
      </c>
      <c r="J129" s="54">
        <v>285</v>
      </c>
      <c r="K129" s="54">
        <v>570</v>
      </c>
      <c r="L129" s="54" t="str">
        <v>东方</v>
      </c>
      <c r="M129" s="80" t="str">
        <v>2025.7.15，货到现场1个月付至到货金额95%，供货完成提供5%两年银行质保函</v>
      </c>
    </row>
    <row r="130" ht="28" spans="1:13">
      <c r="A130" s="54">
        <v>0</v>
      </c>
      <c r="B130" s="54" t="str">
        <v>链条</v>
      </c>
      <c r="C130" s="54" t="str">
        <v>6mm</v>
      </c>
      <c r="D130" s="54">
        <v>0</v>
      </c>
      <c r="E130" s="54">
        <v>0</v>
      </c>
      <c r="F130" s="54">
        <v>0</v>
      </c>
      <c r="G130" s="54">
        <v>0</v>
      </c>
      <c r="H130" s="54">
        <v>2</v>
      </c>
      <c r="I130" s="54">
        <v>0.13</v>
      </c>
      <c r="J130" s="54">
        <v>95</v>
      </c>
      <c r="K130" s="54">
        <v>190</v>
      </c>
      <c r="L130" s="54" t="str">
        <v>东方</v>
      </c>
      <c r="M130" s="80" t="str">
        <v>2025.7.15，货到现场1个月付至到货金额95%，供货完成提供5%两年银行质保函</v>
      </c>
    </row>
    <row r="131" ht="28" spans="1:13">
      <c r="A131" s="54">
        <v>0</v>
      </c>
      <c r="B131" s="54" t="str">
        <v>浮球</v>
      </c>
      <c r="C131" s="54" t="str">
        <v>/</v>
      </c>
      <c r="D131" s="54">
        <v>0</v>
      </c>
      <c r="E131" s="54">
        <v>0</v>
      </c>
      <c r="F131" s="54">
        <v>0</v>
      </c>
      <c r="G131" s="54">
        <v>0</v>
      </c>
      <c r="H131" s="54">
        <v>2</v>
      </c>
      <c r="I131" s="54">
        <v>0.13</v>
      </c>
      <c r="J131" s="54">
        <v>70</v>
      </c>
      <c r="K131" s="54">
        <v>140</v>
      </c>
      <c r="L131" s="54" t="str">
        <v>东方</v>
      </c>
      <c r="M131" s="80" t="str">
        <v>2025.7.15，货到现场1个月付至到货金额95%，供货完成提供5%两年银行质保函</v>
      </c>
    </row>
    <row r="132" ht="28" spans="1:13">
      <c r="A132" s="54">
        <v>27</v>
      </c>
      <c r="B132" s="54" t="str">
        <v>B3地库冲洗集水井排水泵</v>
      </c>
      <c r="C132" s="54" t="str">
        <v>65WQ11091A</v>
      </c>
      <c r="D132" s="54">
        <v>25</v>
      </c>
      <c r="E132" s="54">
        <v>25</v>
      </c>
      <c r="F132" s="54">
        <v>2890</v>
      </c>
      <c r="G132" s="54">
        <v>4</v>
      </c>
      <c r="H132" s="54">
        <v>2</v>
      </c>
      <c r="I132" s="54">
        <v>0.13</v>
      </c>
      <c r="J132" s="54">
        <v>2330</v>
      </c>
      <c r="K132" s="54">
        <v>4660</v>
      </c>
      <c r="L132" s="54" t="str">
        <v>东方</v>
      </c>
      <c r="M132" s="80" t="str">
        <v>2025.7.15，货到现场1个月付至到货金额95%，供货完成提供5%两年银行质保函</v>
      </c>
    </row>
    <row r="133" ht="28" spans="1:13">
      <c r="A133" s="54">
        <v>0</v>
      </c>
      <c r="B133" s="54" t="str">
        <v>自耦</v>
      </c>
      <c r="C133" s="54" t="str">
        <v>GAK65</v>
      </c>
      <c r="D133" s="54">
        <v>0</v>
      </c>
      <c r="E133" s="54">
        <v>0</v>
      </c>
      <c r="F133" s="54">
        <v>0</v>
      </c>
      <c r="G133" s="54">
        <v>0</v>
      </c>
      <c r="H133" s="54">
        <v>2</v>
      </c>
      <c r="I133" s="54">
        <v>0.13</v>
      </c>
      <c r="J133" s="54">
        <v>500</v>
      </c>
      <c r="K133" s="54">
        <v>1000</v>
      </c>
      <c r="L133" s="54" t="str">
        <v>东方</v>
      </c>
      <c r="M133" s="80" t="str">
        <v>2025.7.15，货到现场1个月付至到货金额95%，供货完成提供5%两年银行质保函</v>
      </c>
    </row>
    <row r="134" ht="28" spans="1:13">
      <c r="A134" s="54">
        <v>0</v>
      </c>
      <c r="B134" s="54" t="str">
        <v>导杆</v>
      </c>
      <c r="C134" s="54" t="str">
        <v>32*1.2</v>
      </c>
      <c r="D134" s="54">
        <v>0</v>
      </c>
      <c r="E134" s="54">
        <v>0</v>
      </c>
      <c r="F134" s="54">
        <v>0</v>
      </c>
      <c r="G134" s="54">
        <v>0</v>
      </c>
      <c r="H134" s="54">
        <v>2</v>
      </c>
      <c r="I134" s="54">
        <v>0.13</v>
      </c>
      <c r="J134" s="54">
        <v>285</v>
      </c>
      <c r="K134" s="54">
        <v>570</v>
      </c>
      <c r="L134" s="54" t="str">
        <v>东方</v>
      </c>
      <c r="M134" s="80" t="str">
        <v>2025.7.15，货到现场1个月付至到货金额95%，供货完成提供5%两年银行质保函</v>
      </c>
    </row>
    <row r="135" ht="28" spans="1:13">
      <c r="A135" s="54">
        <v>0</v>
      </c>
      <c r="B135" s="54" t="str">
        <v>链条</v>
      </c>
      <c r="C135" s="54" t="str">
        <v>6mm</v>
      </c>
      <c r="D135" s="54">
        <v>0</v>
      </c>
      <c r="E135" s="54">
        <v>0</v>
      </c>
      <c r="F135" s="54">
        <v>0</v>
      </c>
      <c r="G135" s="54">
        <v>0</v>
      </c>
      <c r="H135" s="54">
        <v>2</v>
      </c>
      <c r="I135" s="54">
        <v>0.13</v>
      </c>
      <c r="J135" s="54">
        <v>95</v>
      </c>
      <c r="K135" s="54">
        <v>190</v>
      </c>
      <c r="L135" s="54" t="str">
        <v>东方</v>
      </c>
      <c r="M135" s="80" t="str">
        <v>2025.7.15，货到现场1个月付至到货金额95%，供货完成提供5%两年银行质保函</v>
      </c>
    </row>
    <row r="136" ht="28" spans="1:13">
      <c r="A136" s="54">
        <v>0</v>
      </c>
      <c r="B136" s="54" t="str">
        <v>浮球</v>
      </c>
      <c r="C136" s="54" t="str">
        <v>/</v>
      </c>
      <c r="D136" s="54">
        <v>0</v>
      </c>
      <c r="E136" s="54">
        <v>0</v>
      </c>
      <c r="F136" s="54">
        <v>0</v>
      </c>
      <c r="G136" s="54">
        <v>0</v>
      </c>
      <c r="H136" s="54">
        <v>2</v>
      </c>
      <c r="I136" s="54">
        <v>0.13</v>
      </c>
      <c r="J136" s="54">
        <v>70</v>
      </c>
      <c r="K136" s="54">
        <v>140</v>
      </c>
      <c r="L136" s="54" t="str">
        <v>东方</v>
      </c>
      <c r="M136" s="80" t="str">
        <v>2025.7.15，货到现场1个月付至到货金额95%，供货完成提供5%两年银行质保函</v>
      </c>
    </row>
    <row r="137" ht="28" spans="1:13">
      <c r="A137" s="54">
        <v>28</v>
      </c>
      <c r="B137" s="54" t="str">
        <v>B3消防电梯集水井排水泵</v>
      </c>
      <c r="C137" s="54" t="str">
        <v>65WQ11085</v>
      </c>
      <c r="D137" s="54">
        <v>40</v>
      </c>
      <c r="E137" s="54">
        <v>30</v>
      </c>
      <c r="F137" s="54">
        <v>2900</v>
      </c>
      <c r="G137" s="54">
        <v>5.5</v>
      </c>
      <c r="H137" s="54">
        <v>2</v>
      </c>
      <c r="I137" s="54">
        <v>0.13</v>
      </c>
      <c r="J137" s="54">
        <v>3500</v>
      </c>
      <c r="K137" s="54">
        <v>7000</v>
      </c>
      <c r="L137" s="54" t="str">
        <v>东方</v>
      </c>
      <c r="M137" s="80" t="str">
        <v>2025.7.15，货到现场1个月付至到货金额95%，供货完成提供5%两年银行质保函</v>
      </c>
    </row>
    <row r="138" ht="28" spans="1:13">
      <c r="A138" s="54">
        <v>0</v>
      </c>
      <c r="B138" s="54" t="str">
        <v>自耦</v>
      </c>
      <c r="C138" s="54" t="str">
        <v>GAK65</v>
      </c>
      <c r="D138" s="54">
        <v>0</v>
      </c>
      <c r="E138" s="54">
        <v>0</v>
      </c>
      <c r="F138" s="54">
        <v>0</v>
      </c>
      <c r="G138" s="54">
        <v>0</v>
      </c>
      <c r="H138" s="54">
        <v>2</v>
      </c>
      <c r="I138" s="54">
        <v>0.13</v>
      </c>
      <c r="J138" s="54">
        <v>500</v>
      </c>
      <c r="K138" s="54">
        <v>1000</v>
      </c>
      <c r="L138" s="54" t="str">
        <v>东方</v>
      </c>
      <c r="M138" s="80" t="str">
        <v>2025.7.15，货到现场1个月付至到货金额95%，供货完成提供5%两年银行质保函</v>
      </c>
    </row>
    <row r="139" ht="28" spans="1:13">
      <c r="A139" s="54">
        <v>0</v>
      </c>
      <c r="B139" s="54" t="str">
        <v>导杆</v>
      </c>
      <c r="C139" s="54" t="str">
        <v>32*1.2</v>
      </c>
      <c r="D139" s="54">
        <v>0</v>
      </c>
      <c r="E139" s="54">
        <v>0</v>
      </c>
      <c r="F139" s="54">
        <v>0</v>
      </c>
      <c r="G139" s="54">
        <v>0</v>
      </c>
      <c r="H139" s="54">
        <v>2</v>
      </c>
      <c r="I139" s="54">
        <v>0.13</v>
      </c>
      <c r="J139" s="54">
        <v>760</v>
      </c>
      <c r="K139" s="54">
        <v>1520</v>
      </c>
      <c r="L139" s="54" t="str">
        <v>东方</v>
      </c>
      <c r="M139" s="80" t="str">
        <v>2025.7.15，货到现场1个月付至到货金额95%，供货完成提供5%两年银行质保函</v>
      </c>
    </row>
    <row r="140" ht="28" spans="1:13">
      <c r="A140" s="54">
        <v>0</v>
      </c>
      <c r="B140" s="54" t="str">
        <v>链条</v>
      </c>
      <c r="C140" s="54" t="str">
        <v>6mm</v>
      </c>
      <c r="D140" s="54">
        <v>0</v>
      </c>
      <c r="E140" s="54">
        <v>0</v>
      </c>
      <c r="F140" s="54">
        <v>0</v>
      </c>
      <c r="G140" s="54">
        <v>0</v>
      </c>
      <c r="H140" s="54">
        <v>2</v>
      </c>
      <c r="I140" s="54">
        <v>0.13</v>
      </c>
      <c r="J140" s="54">
        <v>240</v>
      </c>
      <c r="K140" s="54">
        <v>480</v>
      </c>
      <c r="L140" s="54" t="str">
        <v>东方</v>
      </c>
      <c r="M140" s="80" t="str">
        <v>2025.7.15，货到现场1个月付至到货金额95%，供货完成提供5%两年银行质保函</v>
      </c>
    </row>
    <row r="141" ht="28" spans="1:13">
      <c r="A141" s="54">
        <v>0</v>
      </c>
      <c r="B141" s="54" t="str">
        <v>浮球</v>
      </c>
      <c r="C141" s="54" t="str">
        <v>/</v>
      </c>
      <c r="D141" s="54">
        <v>0</v>
      </c>
      <c r="E141" s="54">
        <v>0</v>
      </c>
      <c r="F141" s="54">
        <v>0</v>
      </c>
      <c r="G141" s="54">
        <v>0</v>
      </c>
      <c r="H141" s="54">
        <v>2</v>
      </c>
      <c r="I141" s="54">
        <v>0.13</v>
      </c>
      <c r="J141" s="54">
        <v>70</v>
      </c>
      <c r="K141" s="54">
        <v>140</v>
      </c>
      <c r="L141" s="54" t="str">
        <v>东方</v>
      </c>
      <c r="M141" s="80" t="str">
        <v>2025.7.15，货到现场1个月付至到货金额95%，供货完成提供5%两年银行质保函</v>
      </c>
    </row>
    <row r="142" ht="28" spans="1:13">
      <c r="A142" s="54">
        <v>29</v>
      </c>
      <c r="B142" s="54" t="str">
        <v>B3地库冲洗集水井排水泵</v>
      </c>
      <c r="C142" s="54" t="str">
        <v>65WQ11091A</v>
      </c>
      <c r="D142" s="54">
        <v>25</v>
      </c>
      <c r="E142" s="54">
        <v>25</v>
      </c>
      <c r="F142" s="54">
        <v>2890</v>
      </c>
      <c r="G142" s="54">
        <v>4</v>
      </c>
      <c r="H142" s="54">
        <v>2</v>
      </c>
      <c r="I142" s="54">
        <v>0.13</v>
      </c>
      <c r="J142" s="54">
        <v>2330</v>
      </c>
      <c r="K142" s="54">
        <v>4660</v>
      </c>
      <c r="L142" s="54" t="str">
        <v>东方</v>
      </c>
      <c r="M142" s="80" t="str">
        <v>2025.7.15，货到现场1个月付至到货金额95%，供货完成提供5%两年银行质保函</v>
      </c>
    </row>
    <row r="143" ht="28" spans="1:13">
      <c r="A143" s="54">
        <v>0</v>
      </c>
      <c r="B143" s="54" t="str">
        <v>自耦</v>
      </c>
      <c r="C143" s="54" t="str">
        <v>GAK65</v>
      </c>
      <c r="D143" s="54">
        <v>0</v>
      </c>
      <c r="E143" s="54">
        <v>0</v>
      </c>
      <c r="F143" s="54">
        <v>0</v>
      </c>
      <c r="G143" s="54">
        <v>0</v>
      </c>
      <c r="H143" s="54">
        <v>2</v>
      </c>
      <c r="I143" s="54">
        <v>0.13</v>
      </c>
      <c r="J143" s="54">
        <v>500</v>
      </c>
      <c r="K143" s="54">
        <v>1000</v>
      </c>
      <c r="L143" s="54" t="str">
        <v>东方</v>
      </c>
      <c r="M143" s="80" t="str">
        <v>2025.7.15，货到现场1个月付至到货金额95%，供货完成提供5%两年银行质保函</v>
      </c>
    </row>
    <row r="144" ht="28" spans="1:13">
      <c r="A144" s="54">
        <v>0</v>
      </c>
      <c r="B144" s="54" t="str">
        <v>导杆</v>
      </c>
      <c r="C144" s="54" t="str">
        <v>32*1.2</v>
      </c>
      <c r="D144" s="54">
        <v>0</v>
      </c>
      <c r="E144" s="54">
        <v>0</v>
      </c>
      <c r="F144" s="54">
        <v>0</v>
      </c>
      <c r="G144" s="54">
        <v>0</v>
      </c>
      <c r="H144" s="54">
        <v>2</v>
      </c>
      <c r="I144" s="54">
        <v>0.13</v>
      </c>
      <c r="J144" s="54">
        <v>330</v>
      </c>
      <c r="K144" s="54">
        <v>660</v>
      </c>
      <c r="L144" s="54" t="str">
        <v>东方</v>
      </c>
      <c r="M144" s="80" t="str">
        <v>2025.7.15，货到现场1个月付至到货金额95%，供货完成提供5%两年银行质保函</v>
      </c>
    </row>
    <row r="145" ht="28" spans="1:13">
      <c r="A145" s="54">
        <v>0</v>
      </c>
      <c r="B145" s="54" t="str">
        <v>链条</v>
      </c>
      <c r="C145" s="54" t="str">
        <v>6mm</v>
      </c>
      <c r="D145" s="54">
        <v>0</v>
      </c>
      <c r="E145" s="54">
        <v>0</v>
      </c>
      <c r="F145" s="54">
        <v>0</v>
      </c>
      <c r="G145" s="54">
        <v>0</v>
      </c>
      <c r="H145" s="54">
        <v>2</v>
      </c>
      <c r="I145" s="54">
        <v>0.13</v>
      </c>
      <c r="J145" s="54">
        <v>105</v>
      </c>
      <c r="K145" s="54">
        <v>210</v>
      </c>
      <c r="L145" s="54" t="str">
        <v>东方</v>
      </c>
      <c r="M145" s="80" t="str">
        <v>2025.7.15，货到现场1个月付至到货金额95%，供货完成提供5%两年银行质保函</v>
      </c>
    </row>
    <row r="146" ht="28" spans="1:13">
      <c r="A146" s="54">
        <v>0</v>
      </c>
      <c r="B146" s="54" t="str">
        <v>浮球</v>
      </c>
      <c r="C146" s="54" t="str">
        <v>/</v>
      </c>
      <c r="D146" s="54">
        <v>0</v>
      </c>
      <c r="E146" s="54">
        <v>0</v>
      </c>
      <c r="F146" s="54">
        <v>0</v>
      </c>
      <c r="G146" s="54">
        <v>0</v>
      </c>
      <c r="H146" s="54">
        <v>2</v>
      </c>
      <c r="I146" s="54">
        <v>0.13</v>
      </c>
      <c r="J146" s="54">
        <v>70</v>
      </c>
      <c r="K146" s="54">
        <v>140</v>
      </c>
      <c r="L146" s="54" t="str">
        <v>东方</v>
      </c>
      <c r="M146" s="80" t="str">
        <v>2025.7.15，货到现场1个月付至到货金额95%，供货完成提供5%两年银行质保函</v>
      </c>
    </row>
    <row r="147" ht="28" spans="1:13">
      <c r="A147" s="54">
        <v>30</v>
      </c>
      <c r="B147" s="54" t="str">
        <v>B3普通电梯集水井排水泵</v>
      </c>
      <c r="C147" s="54" t="str">
        <v>50WQ11053</v>
      </c>
      <c r="D147" s="54">
        <v>10</v>
      </c>
      <c r="E147" s="54">
        <v>30</v>
      </c>
      <c r="F147" s="54">
        <v>2900</v>
      </c>
      <c r="G147" s="54">
        <v>3</v>
      </c>
      <c r="H147" s="54">
        <v>1</v>
      </c>
      <c r="I147" s="54">
        <v>0.13</v>
      </c>
      <c r="J147" s="54">
        <v>2265</v>
      </c>
      <c r="K147" s="54">
        <v>2265</v>
      </c>
      <c r="L147" s="54" t="str">
        <v>东方</v>
      </c>
      <c r="M147" s="80" t="str">
        <v>2025.7.15，货到现场1个月付至到货金额95%，供货完成提供5%两年银行质保函</v>
      </c>
    </row>
    <row r="148" ht="28" spans="1:13">
      <c r="A148" s="54">
        <v>0</v>
      </c>
      <c r="B148" s="54" t="str">
        <v>自耦</v>
      </c>
      <c r="C148" s="54" t="str">
        <v>GAK50</v>
      </c>
      <c r="D148" s="54">
        <v>0</v>
      </c>
      <c r="E148" s="54">
        <v>0</v>
      </c>
      <c r="F148" s="54">
        <v>0</v>
      </c>
      <c r="G148" s="54">
        <v>0</v>
      </c>
      <c r="H148" s="54">
        <v>1</v>
      </c>
      <c r="I148" s="54">
        <v>0.13</v>
      </c>
      <c r="J148" s="54">
        <v>400</v>
      </c>
      <c r="K148" s="54">
        <v>400</v>
      </c>
      <c r="L148" s="54" t="str">
        <v>东方</v>
      </c>
      <c r="M148" s="80" t="str">
        <v>2025.7.15，货到现场1个月付至到货金额95%，供货完成提供5%两年银行质保函</v>
      </c>
    </row>
    <row r="149" ht="28" spans="1:13">
      <c r="A149" s="54">
        <v>0</v>
      </c>
      <c r="B149" s="54" t="str">
        <v>导杆</v>
      </c>
      <c r="C149" s="54" t="str">
        <v>32*1.2</v>
      </c>
      <c r="D149" s="54">
        <v>0</v>
      </c>
      <c r="E149" s="54">
        <v>0</v>
      </c>
      <c r="F149" s="54">
        <v>0</v>
      </c>
      <c r="G149" s="54">
        <v>0</v>
      </c>
      <c r="H149" s="54">
        <v>1</v>
      </c>
      <c r="I149" s="54">
        <v>0.13</v>
      </c>
      <c r="J149" s="54">
        <v>950</v>
      </c>
      <c r="K149" s="54">
        <v>950</v>
      </c>
      <c r="L149" s="54" t="str">
        <v>东方</v>
      </c>
      <c r="M149" s="80" t="str">
        <v>2025.7.15，货到现场1个月付至到货金额95%，供货完成提供5%两年银行质保函</v>
      </c>
    </row>
    <row r="150" ht="28" spans="1:13">
      <c r="A150" s="54">
        <v>0</v>
      </c>
      <c r="B150" s="54" t="str">
        <v>链条</v>
      </c>
      <c r="C150" s="54" t="str">
        <v>6mm</v>
      </c>
      <c r="D150" s="54">
        <v>0</v>
      </c>
      <c r="E150" s="54">
        <v>0</v>
      </c>
      <c r="F150" s="54">
        <v>0</v>
      </c>
      <c r="G150" s="54">
        <v>0</v>
      </c>
      <c r="H150" s="54">
        <v>1</v>
      </c>
      <c r="I150" s="54">
        <v>0.13</v>
      </c>
      <c r="J150" s="54">
        <v>300</v>
      </c>
      <c r="K150" s="54">
        <v>300</v>
      </c>
      <c r="L150" s="54" t="str">
        <v>东方</v>
      </c>
      <c r="M150" s="80" t="str">
        <v>2025.7.15，货到现场1个月付至到货金额95%，供货完成提供5%两年银行质保函</v>
      </c>
    </row>
    <row r="151" ht="28" spans="1:13">
      <c r="A151" s="54">
        <v>0</v>
      </c>
      <c r="B151" s="54" t="str">
        <v>浮球</v>
      </c>
      <c r="C151" s="54" t="str">
        <v>/</v>
      </c>
      <c r="D151" s="54">
        <v>0</v>
      </c>
      <c r="E151" s="54">
        <v>0</v>
      </c>
      <c r="F151" s="54">
        <v>0</v>
      </c>
      <c r="G151" s="54">
        <v>0</v>
      </c>
      <c r="H151" s="54">
        <v>1</v>
      </c>
      <c r="I151" s="54">
        <v>0.13</v>
      </c>
      <c r="J151" s="54">
        <v>120</v>
      </c>
      <c r="K151" s="54">
        <v>120</v>
      </c>
      <c r="L151" s="54" t="str">
        <v>东方</v>
      </c>
      <c r="M151" s="80" t="str">
        <v>2025.7.15，货到现场1个月付至到货金额95%，供货完成提供5%两年银行质保函</v>
      </c>
    </row>
    <row r="152" ht="28" spans="1:13">
      <c r="A152" s="54">
        <v>31</v>
      </c>
      <c r="B152" s="54" t="str">
        <v>B3地库冲洗集水井排水泵</v>
      </c>
      <c r="C152" s="54" t="str">
        <v>65WQ11091A</v>
      </c>
      <c r="D152" s="54">
        <v>25</v>
      </c>
      <c r="E152" s="54">
        <v>25</v>
      </c>
      <c r="F152" s="54">
        <v>2890</v>
      </c>
      <c r="G152" s="54">
        <v>4</v>
      </c>
      <c r="H152" s="54">
        <v>2</v>
      </c>
      <c r="I152" s="54">
        <v>0.13</v>
      </c>
      <c r="J152" s="54">
        <v>2330</v>
      </c>
      <c r="K152" s="54">
        <v>4660</v>
      </c>
      <c r="L152" s="54" t="str">
        <v>东方</v>
      </c>
      <c r="M152" s="80" t="str">
        <v>2025.7.15，货到现场1个月付至到货金额95%，供货完成提供5%两年银行质保函</v>
      </c>
    </row>
    <row r="153" ht="28" spans="1:13">
      <c r="A153" s="54">
        <v>0</v>
      </c>
      <c r="B153" s="54" t="str">
        <v>自耦</v>
      </c>
      <c r="C153" s="54" t="str">
        <v>GAK65</v>
      </c>
      <c r="D153" s="54">
        <v>0</v>
      </c>
      <c r="E153" s="54">
        <v>0</v>
      </c>
      <c r="F153" s="54">
        <v>0</v>
      </c>
      <c r="G153" s="54">
        <v>0</v>
      </c>
      <c r="H153" s="54">
        <v>2</v>
      </c>
      <c r="I153" s="54">
        <v>0.13</v>
      </c>
      <c r="J153" s="54">
        <v>500</v>
      </c>
      <c r="K153" s="54">
        <v>1000</v>
      </c>
      <c r="L153" s="54" t="str">
        <v>东方</v>
      </c>
      <c r="M153" s="80" t="str">
        <v>2025.7.15，货到现场1个月付至到货金额95%，供货完成提供5%两年银行质保函</v>
      </c>
    </row>
    <row r="154" ht="28" spans="1:13">
      <c r="A154" s="54">
        <v>0</v>
      </c>
      <c r="B154" s="54" t="str">
        <v>导杆</v>
      </c>
      <c r="C154" s="54" t="str">
        <v>32*1.2</v>
      </c>
      <c r="D154" s="54">
        <v>0</v>
      </c>
      <c r="E154" s="54">
        <v>0</v>
      </c>
      <c r="F154" s="54">
        <v>0</v>
      </c>
      <c r="G154" s="54">
        <v>0</v>
      </c>
      <c r="H154" s="54">
        <v>2</v>
      </c>
      <c r="I154" s="54">
        <v>0.13</v>
      </c>
      <c r="J154" s="54">
        <v>330</v>
      </c>
      <c r="K154" s="54">
        <v>660</v>
      </c>
      <c r="L154" s="54" t="str">
        <v>东方</v>
      </c>
      <c r="M154" s="80" t="str">
        <v>2025.7.15，货到现场1个月付至到货金额95%，供货完成提供5%两年银行质保函</v>
      </c>
    </row>
    <row r="155" ht="28" spans="1:13">
      <c r="A155" s="54">
        <v>0</v>
      </c>
      <c r="B155" s="54" t="str">
        <v>链条</v>
      </c>
      <c r="C155" s="54" t="str">
        <v>6mm</v>
      </c>
      <c r="D155" s="54">
        <v>0</v>
      </c>
      <c r="E155" s="54">
        <v>0</v>
      </c>
      <c r="F155" s="54">
        <v>0</v>
      </c>
      <c r="G155" s="54">
        <v>0</v>
      </c>
      <c r="H155" s="54">
        <v>2</v>
      </c>
      <c r="I155" s="54">
        <v>0.13</v>
      </c>
      <c r="J155" s="54">
        <v>105</v>
      </c>
      <c r="K155" s="54">
        <v>210</v>
      </c>
      <c r="L155" s="54" t="str">
        <v>东方</v>
      </c>
      <c r="M155" s="80" t="str">
        <v>2025.7.15，货到现场1个月付至到货金额95%，供货完成提供5%两年银行质保函</v>
      </c>
    </row>
    <row r="156" ht="28" spans="1:13">
      <c r="A156" s="54">
        <v>0</v>
      </c>
      <c r="B156" s="54" t="str">
        <v>浮球</v>
      </c>
      <c r="C156" s="54" t="str">
        <v>/</v>
      </c>
      <c r="D156" s="54">
        <v>0</v>
      </c>
      <c r="E156" s="54">
        <v>0</v>
      </c>
      <c r="F156" s="54">
        <v>0</v>
      </c>
      <c r="G156" s="54">
        <v>0</v>
      </c>
      <c r="H156" s="54">
        <v>2</v>
      </c>
      <c r="I156" s="54">
        <v>0.13</v>
      </c>
      <c r="J156" s="54">
        <v>70</v>
      </c>
      <c r="K156" s="54">
        <v>140</v>
      </c>
      <c r="L156" s="54" t="str">
        <v>东方</v>
      </c>
      <c r="M156" s="80" t="str">
        <v>2025.7.15，货到现场1个月付至到货金额95%，供货完成提供5%两年银行质保函</v>
      </c>
    </row>
    <row r="157" ht="28" spans="1:13">
      <c r="A157" s="54">
        <v>32</v>
      </c>
      <c r="B157" s="54" t="str">
        <v>B3地库冲洗集水井排水泵</v>
      </c>
      <c r="C157" s="54" t="str">
        <v>65WQ11091A</v>
      </c>
      <c r="D157" s="54">
        <v>25</v>
      </c>
      <c r="E157" s="54">
        <v>25</v>
      </c>
      <c r="F157" s="54">
        <v>2890</v>
      </c>
      <c r="G157" s="54">
        <v>4</v>
      </c>
      <c r="H157" s="54">
        <v>2</v>
      </c>
      <c r="I157" s="54">
        <v>0.13</v>
      </c>
      <c r="J157" s="54">
        <v>2330</v>
      </c>
      <c r="K157" s="54">
        <v>4660</v>
      </c>
      <c r="L157" s="54" t="str">
        <v>东方</v>
      </c>
      <c r="M157" s="80" t="str">
        <v>2025.7.15，货到现场1个月付至到货金额95%，供货完成提供5%两年银行质保函</v>
      </c>
    </row>
    <row r="158" ht="28" spans="1:13">
      <c r="A158" s="54">
        <v>0</v>
      </c>
      <c r="B158" s="54" t="str">
        <v>自耦</v>
      </c>
      <c r="C158" s="54" t="str">
        <v>GAK65</v>
      </c>
      <c r="D158" s="54">
        <v>0</v>
      </c>
      <c r="E158" s="54">
        <v>0</v>
      </c>
      <c r="F158" s="54">
        <v>0</v>
      </c>
      <c r="G158" s="54">
        <v>0</v>
      </c>
      <c r="H158" s="54">
        <v>2</v>
      </c>
      <c r="I158" s="54">
        <v>0.13</v>
      </c>
      <c r="J158" s="54">
        <v>500</v>
      </c>
      <c r="K158" s="54">
        <v>1000</v>
      </c>
      <c r="L158" s="54" t="str">
        <v>东方</v>
      </c>
      <c r="M158" s="80" t="str">
        <v>2025.7.15，货到现场1个月付至到货金额95%，供货完成提供5%两年银行质保函</v>
      </c>
    </row>
    <row r="159" ht="28" spans="1:13">
      <c r="A159" s="54">
        <v>0</v>
      </c>
      <c r="B159" s="54" t="str">
        <v>导杆</v>
      </c>
      <c r="C159" s="54" t="str">
        <v>32*1.2</v>
      </c>
      <c r="D159" s="54">
        <v>0</v>
      </c>
      <c r="E159" s="54">
        <v>0</v>
      </c>
      <c r="F159" s="54">
        <v>0</v>
      </c>
      <c r="G159" s="54">
        <v>0</v>
      </c>
      <c r="H159" s="54">
        <v>2</v>
      </c>
      <c r="I159" s="54">
        <v>0.13</v>
      </c>
      <c r="J159" s="54">
        <v>330</v>
      </c>
      <c r="K159" s="54">
        <v>660</v>
      </c>
      <c r="L159" s="54" t="str">
        <v>东方</v>
      </c>
      <c r="M159" s="80" t="str">
        <v>2025.7.15，货到现场1个月付至到货金额95%，供货完成提供5%两年银行质保函</v>
      </c>
    </row>
    <row r="160" ht="28" spans="1:13">
      <c r="A160" s="54">
        <v>0</v>
      </c>
      <c r="B160" s="54" t="str">
        <v>链条</v>
      </c>
      <c r="C160" s="54" t="str">
        <v>6mm</v>
      </c>
      <c r="D160" s="54">
        <v>0</v>
      </c>
      <c r="E160" s="54">
        <v>0</v>
      </c>
      <c r="F160" s="54">
        <v>0</v>
      </c>
      <c r="G160" s="54">
        <v>0</v>
      </c>
      <c r="H160" s="54">
        <v>2</v>
      </c>
      <c r="I160" s="54">
        <v>0.13</v>
      </c>
      <c r="J160" s="54">
        <v>105</v>
      </c>
      <c r="K160" s="54">
        <v>210</v>
      </c>
      <c r="L160" s="54" t="str">
        <v>东方</v>
      </c>
      <c r="M160" s="80" t="str">
        <v>2025.7.15，货到现场1个月付至到货金额95%，供货完成提供5%两年银行质保函</v>
      </c>
    </row>
    <row r="161" ht="28" spans="1:13">
      <c r="A161" s="54">
        <v>0</v>
      </c>
      <c r="B161" s="54" t="str">
        <v>浮球</v>
      </c>
      <c r="C161" s="54" t="str">
        <v>/</v>
      </c>
      <c r="D161" s="54">
        <v>0</v>
      </c>
      <c r="E161" s="54">
        <v>0</v>
      </c>
      <c r="F161" s="54">
        <v>0</v>
      </c>
      <c r="G161" s="54">
        <v>0</v>
      </c>
      <c r="H161" s="54">
        <v>2</v>
      </c>
      <c r="I161" s="54">
        <v>0.13</v>
      </c>
      <c r="J161" s="54">
        <v>70</v>
      </c>
      <c r="K161" s="54">
        <v>140</v>
      </c>
      <c r="L161" s="54" t="str">
        <v>东方</v>
      </c>
      <c r="M161" s="80" t="str">
        <v>2025.7.15，货到现场1个月付至到货金额95%，供货完成提供5%两年银行质保函</v>
      </c>
    </row>
    <row r="162" ht="28" spans="1:13">
      <c r="A162" s="54">
        <v>33</v>
      </c>
      <c r="B162" s="54" t="str">
        <v>B3普通电梯集水井排水泵</v>
      </c>
      <c r="C162" s="54" t="str">
        <v>50WQ11053</v>
      </c>
      <c r="D162" s="54">
        <v>10</v>
      </c>
      <c r="E162" s="54">
        <v>30</v>
      </c>
      <c r="F162" s="54">
        <v>2900</v>
      </c>
      <c r="G162" s="54">
        <v>3</v>
      </c>
      <c r="H162" s="54">
        <v>1</v>
      </c>
      <c r="I162" s="54">
        <v>0.13</v>
      </c>
      <c r="J162" s="54">
        <v>2265</v>
      </c>
      <c r="K162" s="54">
        <v>2265</v>
      </c>
      <c r="L162" s="54" t="str">
        <v>东方</v>
      </c>
      <c r="M162" s="80" t="str">
        <v>2025.7.15，货到现场1个月付至到货金额95%，供货完成提供5%两年银行质保函</v>
      </c>
    </row>
    <row r="163" ht="28" spans="1:13">
      <c r="A163" s="54">
        <v>0</v>
      </c>
      <c r="B163" s="54" t="str">
        <v>自耦</v>
      </c>
      <c r="C163" s="54" t="str">
        <v>GAK50</v>
      </c>
      <c r="D163" s="54">
        <v>0</v>
      </c>
      <c r="E163" s="54">
        <v>0</v>
      </c>
      <c r="F163" s="54">
        <v>0</v>
      </c>
      <c r="G163" s="54">
        <v>0</v>
      </c>
      <c r="H163" s="54">
        <v>1</v>
      </c>
      <c r="I163" s="54">
        <v>0.13</v>
      </c>
      <c r="J163" s="54">
        <v>400</v>
      </c>
      <c r="K163" s="54">
        <v>400</v>
      </c>
      <c r="L163" s="54" t="str">
        <v>东方</v>
      </c>
      <c r="M163" s="80" t="str">
        <v>2025.7.15，货到现场1个月付至到货金额95%，供货完成提供5%两年银行质保函</v>
      </c>
    </row>
    <row r="164" ht="28" spans="1:13">
      <c r="A164" s="54">
        <v>0</v>
      </c>
      <c r="B164" s="54" t="str">
        <v>导杆</v>
      </c>
      <c r="C164" s="54" t="str">
        <v>32*1.2</v>
      </c>
      <c r="D164" s="54">
        <v>0</v>
      </c>
      <c r="E164" s="54">
        <v>0</v>
      </c>
      <c r="F164" s="54">
        <v>0</v>
      </c>
      <c r="G164" s="54">
        <v>0</v>
      </c>
      <c r="H164" s="54">
        <v>1</v>
      </c>
      <c r="I164" s="54">
        <v>0.13</v>
      </c>
      <c r="J164" s="54">
        <v>1150</v>
      </c>
      <c r="K164" s="54">
        <v>1150</v>
      </c>
      <c r="L164" s="54" t="str">
        <v>东方</v>
      </c>
      <c r="M164" s="80" t="str">
        <v>2025.7.15，货到现场1个月付至到货金额95%，供货完成提供5%两年银行质保函</v>
      </c>
    </row>
    <row r="165" ht="28" spans="1:13">
      <c r="A165" s="54">
        <v>0</v>
      </c>
      <c r="B165" s="54" t="str">
        <v>链条</v>
      </c>
      <c r="C165" s="54" t="str">
        <v>6mm</v>
      </c>
      <c r="D165" s="54">
        <v>0</v>
      </c>
      <c r="E165" s="54">
        <v>0</v>
      </c>
      <c r="F165" s="54">
        <v>0</v>
      </c>
      <c r="G165" s="54">
        <v>0</v>
      </c>
      <c r="H165" s="54">
        <v>1</v>
      </c>
      <c r="I165" s="54">
        <v>0.13</v>
      </c>
      <c r="J165" s="54">
        <v>360</v>
      </c>
      <c r="K165" s="54">
        <v>360</v>
      </c>
      <c r="L165" s="54" t="str">
        <v>东方</v>
      </c>
      <c r="M165" s="80" t="str">
        <v>2025.7.15，货到现场1个月付至到货金额95%，供货完成提供5%两年银行质保函</v>
      </c>
    </row>
    <row r="166" ht="28" spans="1:13">
      <c r="A166" s="54">
        <v>0</v>
      </c>
      <c r="B166" s="54" t="str">
        <v>浮球</v>
      </c>
      <c r="C166" s="54" t="str">
        <v>/</v>
      </c>
      <c r="D166" s="54">
        <v>0</v>
      </c>
      <c r="E166" s="54">
        <v>0</v>
      </c>
      <c r="F166" s="54">
        <v>0</v>
      </c>
      <c r="G166" s="54">
        <v>0</v>
      </c>
      <c r="H166" s="54">
        <v>1</v>
      </c>
      <c r="I166" s="54">
        <v>0.13</v>
      </c>
      <c r="J166" s="54">
        <v>120</v>
      </c>
      <c r="K166" s="54">
        <v>120</v>
      </c>
      <c r="L166" s="54" t="str">
        <v>东方</v>
      </c>
      <c r="M166" s="80" t="str">
        <v>2025.7.15，货到现场1个月付至到货金额95%，供货完成提供5%两年银行质保函</v>
      </c>
    </row>
    <row r="167" ht="28" spans="1:13">
      <c r="A167" s="54">
        <v>34</v>
      </c>
      <c r="B167" s="54" t="str">
        <v>B3消防电梯集水井排水泵</v>
      </c>
      <c r="C167" s="54" t="str">
        <v>65WQ11085</v>
      </c>
      <c r="D167" s="54">
        <v>40</v>
      </c>
      <c r="E167" s="54">
        <v>30</v>
      </c>
      <c r="F167" s="54">
        <v>2900</v>
      </c>
      <c r="G167" s="54">
        <v>5.5</v>
      </c>
      <c r="H167" s="54">
        <v>2</v>
      </c>
      <c r="I167" s="54">
        <v>0.13</v>
      </c>
      <c r="J167" s="54">
        <v>3500</v>
      </c>
      <c r="K167" s="54">
        <v>7000</v>
      </c>
      <c r="L167" s="54" t="str">
        <v>东方</v>
      </c>
      <c r="M167" s="80" t="str">
        <v>2025.7.15，货到现场1个月付至到货金额95%，供货完成提供5%两年银行质保函</v>
      </c>
    </row>
    <row r="168" ht="28" spans="1:13">
      <c r="A168" s="54">
        <v>0</v>
      </c>
      <c r="B168" s="54" t="str">
        <v>自耦</v>
      </c>
      <c r="C168" s="54" t="str">
        <v>GAK65</v>
      </c>
      <c r="D168" s="54">
        <v>0</v>
      </c>
      <c r="E168" s="54">
        <v>0</v>
      </c>
      <c r="F168" s="54">
        <v>0</v>
      </c>
      <c r="G168" s="54">
        <v>0</v>
      </c>
      <c r="H168" s="54">
        <v>2</v>
      </c>
      <c r="I168" s="54">
        <v>0.13</v>
      </c>
      <c r="J168" s="54">
        <v>500</v>
      </c>
      <c r="K168" s="54">
        <v>1000</v>
      </c>
      <c r="L168" s="54" t="str">
        <v>东方</v>
      </c>
      <c r="M168" s="80" t="str">
        <v>2025.7.15，货到现场1个月付至到货金额95%，供货完成提供5%两年银行质保函</v>
      </c>
    </row>
    <row r="169" ht="28" spans="1:13">
      <c r="A169" s="54">
        <v>0</v>
      </c>
      <c r="B169" s="54" t="str">
        <v>导杆</v>
      </c>
      <c r="C169" s="54" t="str">
        <v>32*1.2</v>
      </c>
      <c r="D169" s="54">
        <v>0</v>
      </c>
      <c r="E169" s="54">
        <v>0</v>
      </c>
      <c r="F169" s="54">
        <v>0</v>
      </c>
      <c r="G169" s="54">
        <v>0</v>
      </c>
      <c r="H169" s="54">
        <v>2</v>
      </c>
      <c r="I169" s="54">
        <v>0.13</v>
      </c>
      <c r="J169" s="54">
        <v>860</v>
      </c>
      <c r="K169" s="54">
        <v>1720</v>
      </c>
      <c r="L169" s="54" t="str">
        <v>东方</v>
      </c>
      <c r="M169" s="80" t="str">
        <v>2025.7.15，货到现场1个月付至到货金额95%，供货完成提供5%两年银行质保函</v>
      </c>
    </row>
    <row r="170" ht="28" spans="1:13">
      <c r="A170" s="54">
        <v>0</v>
      </c>
      <c r="B170" s="54" t="str">
        <v>链条</v>
      </c>
      <c r="C170" s="54" t="str">
        <v>6mm</v>
      </c>
      <c r="D170" s="54">
        <v>0</v>
      </c>
      <c r="E170" s="54">
        <v>0</v>
      </c>
      <c r="F170" s="54">
        <v>0</v>
      </c>
      <c r="G170" s="54">
        <v>0</v>
      </c>
      <c r="H170" s="54">
        <v>2</v>
      </c>
      <c r="I170" s="54">
        <v>0.13</v>
      </c>
      <c r="J170" s="54">
        <v>270</v>
      </c>
      <c r="K170" s="54">
        <v>540</v>
      </c>
      <c r="L170" s="54" t="str">
        <v>东方</v>
      </c>
      <c r="M170" s="80" t="str">
        <v>2025.7.15，货到现场1个月付至到货金额95%，供货完成提供5%两年银行质保函</v>
      </c>
    </row>
    <row r="171" ht="28" spans="1:13">
      <c r="A171" s="54">
        <v>0</v>
      </c>
      <c r="B171" s="54" t="str">
        <v>浮球</v>
      </c>
      <c r="C171" s="54" t="str">
        <v>/</v>
      </c>
      <c r="D171" s="54">
        <v>0</v>
      </c>
      <c r="E171" s="54">
        <v>0</v>
      </c>
      <c r="F171" s="54">
        <v>0</v>
      </c>
      <c r="G171" s="54">
        <v>0</v>
      </c>
      <c r="H171" s="54">
        <v>2</v>
      </c>
      <c r="I171" s="54">
        <v>0.13</v>
      </c>
      <c r="J171" s="54">
        <v>120</v>
      </c>
      <c r="K171" s="54">
        <v>240</v>
      </c>
      <c r="L171" s="54" t="str">
        <v>东方</v>
      </c>
      <c r="M171" s="80" t="str">
        <v>2025.7.15，货到现场1个月付至到货金额95%，供货完成提供5%两年银行质保函</v>
      </c>
    </row>
    <row r="172" ht="28" spans="1:13">
      <c r="A172" s="54">
        <v>35</v>
      </c>
      <c r="B172" s="54" t="str">
        <v>B3地库冲洗集水井排水泵</v>
      </c>
      <c r="C172" s="54" t="str">
        <v>65WQ11091A</v>
      </c>
      <c r="D172" s="54">
        <v>25</v>
      </c>
      <c r="E172" s="54">
        <v>25</v>
      </c>
      <c r="F172" s="54">
        <v>2890</v>
      </c>
      <c r="G172" s="54">
        <v>4</v>
      </c>
      <c r="H172" s="54">
        <v>2</v>
      </c>
      <c r="I172" s="54">
        <v>0.13</v>
      </c>
      <c r="J172" s="54">
        <v>2330</v>
      </c>
      <c r="K172" s="54">
        <v>4660</v>
      </c>
      <c r="L172" s="54" t="str">
        <v>东方</v>
      </c>
      <c r="M172" s="80" t="str">
        <v>2025.7.15，货到现场1个月付至到货金额95%，供货完成提供5%两年银行质保函</v>
      </c>
    </row>
    <row r="173" ht="28" spans="1:13">
      <c r="A173" s="54">
        <v>0</v>
      </c>
      <c r="B173" s="54" t="str">
        <v>自耦</v>
      </c>
      <c r="C173" s="54" t="str">
        <v>GAK65</v>
      </c>
      <c r="D173" s="54">
        <v>0</v>
      </c>
      <c r="E173" s="54">
        <v>0</v>
      </c>
      <c r="F173" s="54">
        <v>0</v>
      </c>
      <c r="G173" s="54">
        <v>0</v>
      </c>
      <c r="H173" s="54">
        <v>2</v>
      </c>
      <c r="I173" s="54">
        <v>0.13</v>
      </c>
      <c r="J173" s="54">
        <v>500</v>
      </c>
      <c r="K173" s="54">
        <v>1000</v>
      </c>
      <c r="L173" s="54" t="str">
        <v>东方</v>
      </c>
      <c r="M173" s="80" t="str">
        <v>2025.7.15，货到现场1个月付至到货金额95%，供货完成提供5%两年银行质保函</v>
      </c>
    </row>
    <row r="174" ht="28" spans="1:13">
      <c r="A174" s="54">
        <v>0</v>
      </c>
      <c r="B174" s="54" t="str">
        <v>导杆</v>
      </c>
      <c r="C174" s="54" t="str">
        <v>32*1.2</v>
      </c>
      <c r="D174" s="54">
        <v>0</v>
      </c>
      <c r="E174" s="54">
        <v>0</v>
      </c>
      <c r="F174" s="54">
        <v>0</v>
      </c>
      <c r="G174" s="54">
        <v>0</v>
      </c>
      <c r="H174" s="54">
        <v>2</v>
      </c>
      <c r="I174" s="54">
        <v>0.13</v>
      </c>
      <c r="J174" s="54">
        <v>330</v>
      </c>
      <c r="K174" s="54">
        <v>660</v>
      </c>
      <c r="L174" s="54" t="str">
        <v>东方</v>
      </c>
      <c r="M174" s="80" t="str">
        <v>2025.7.15，货到现场1个月付至到货金额95%，供货完成提供5%两年银行质保函</v>
      </c>
    </row>
    <row r="175" ht="28" spans="1:13">
      <c r="A175" s="54">
        <v>0</v>
      </c>
      <c r="B175" s="54" t="str">
        <v>链条</v>
      </c>
      <c r="C175" s="54" t="str">
        <v>6mm</v>
      </c>
      <c r="D175" s="54">
        <v>0</v>
      </c>
      <c r="E175" s="54">
        <v>0</v>
      </c>
      <c r="F175" s="54">
        <v>0</v>
      </c>
      <c r="G175" s="54">
        <v>0</v>
      </c>
      <c r="H175" s="54">
        <v>2</v>
      </c>
      <c r="I175" s="54">
        <v>0.13</v>
      </c>
      <c r="J175" s="54">
        <v>105</v>
      </c>
      <c r="K175" s="54">
        <v>210</v>
      </c>
      <c r="L175" s="54" t="str">
        <v>东方</v>
      </c>
      <c r="M175" s="80" t="str">
        <v>2025.7.15，货到现场1个月付至到货金额95%，供货完成提供5%两年银行质保函</v>
      </c>
    </row>
    <row r="176" ht="28" spans="1:13">
      <c r="A176" s="54">
        <v>0</v>
      </c>
      <c r="B176" s="54" t="str">
        <v>浮球</v>
      </c>
      <c r="C176" s="54" t="str">
        <v>/</v>
      </c>
      <c r="D176" s="54">
        <v>0</v>
      </c>
      <c r="E176" s="54">
        <v>0</v>
      </c>
      <c r="F176" s="54">
        <v>0</v>
      </c>
      <c r="G176" s="54">
        <v>0</v>
      </c>
      <c r="H176" s="54">
        <v>2</v>
      </c>
      <c r="I176" s="54">
        <v>0.13</v>
      </c>
      <c r="J176" s="54">
        <v>70</v>
      </c>
      <c r="K176" s="54">
        <v>140</v>
      </c>
      <c r="L176" s="54" t="str">
        <v>东方</v>
      </c>
      <c r="M176" s="80" t="str">
        <v>2025.7.15，货到现场1个月付至到货金额95%，供货完成提供5%两年银行质保函</v>
      </c>
    </row>
    <row r="177" ht="28" spans="1:13">
      <c r="A177" s="54">
        <v>36</v>
      </c>
      <c r="B177" s="54" t="str">
        <v>B3地库冲洗集水井排水泵</v>
      </c>
      <c r="C177" s="54" t="str">
        <v>65WQ11091A</v>
      </c>
      <c r="D177" s="54">
        <v>25</v>
      </c>
      <c r="E177" s="54">
        <v>25</v>
      </c>
      <c r="F177" s="54">
        <v>2890</v>
      </c>
      <c r="G177" s="54">
        <v>4</v>
      </c>
      <c r="H177" s="54">
        <v>2</v>
      </c>
      <c r="I177" s="54">
        <v>0.13</v>
      </c>
      <c r="J177" s="54">
        <v>2330</v>
      </c>
      <c r="K177" s="54">
        <v>4660</v>
      </c>
      <c r="L177" s="54" t="str">
        <v>东方</v>
      </c>
      <c r="M177" s="80" t="str">
        <v>2025.7.15，货到现场1个月付至到货金额95%，供货完成提供5%两年银行质保函</v>
      </c>
    </row>
    <row r="178" ht="28" spans="1:13">
      <c r="A178" s="54">
        <v>0</v>
      </c>
      <c r="B178" s="54" t="str">
        <v>自耦</v>
      </c>
      <c r="C178" s="54" t="str">
        <v>GAK65</v>
      </c>
      <c r="D178" s="54">
        <v>0</v>
      </c>
      <c r="E178" s="54">
        <v>0</v>
      </c>
      <c r="F178" s="54">
        <v>0</v>
      </c>
      <c r="G178" s="54">
        <v>0</v>
      </c>
      <c r="H178" s="54">
        <v>2</v>
      </c>
      <c r="I178" s="54">
        <v>0.13</v>
      </c>
      <c r="J178" s="54">
        <v>500</v>
      </c>
      <c r="K178" s="54">
        <v>1000</v>
      </c>
      <c r="L178" s="54" t="str">
        <v>东方</v>
      </c>
      <c r="M178" s="80" t="str">
        <v>2025.7.15，货到现场1个月付至到货金额95%，供货完成提供5%两年银行质保函</v>
      </c>
    </row>
    <row r="179" ht="28" spans="1:13">
      <c r="A179" s="54">
        <v>0</v>
      </c>
      <c r="B179" s="54" t="str">
        <v>导杆</v>
      </c>
      <c r="C179" s="54" t="str">
        <v>32*1.2</v>
      </c>
      <c r="D179" s="54">
        <v>0</v>
      </c>
      <c r="E179" s="54">
        <v>0</v>
      </c>
      <c r="F179" s="54">
        <v>0</v>
      </c>
      <c r="G179" s="54">
        <v>0</v>
      </c>
      <c r="H179" s="54">
        <v>2</v>
      </c>
      <c r="I179" s="54">
        <v>0.13</v>
      </c>
      <c r="J179" s="54">
        <v>330</v>
      </c>
      <c r="K179" s="54">
        <v>660</v>
      </c>
      <c r="L179" s="54" t="str">
        <v>东方</v>
      </c>
      <c r="M179" s="80" t="str">
        <v>2025.7.15，货到现场1个月付至到货金额95%，供货完成提供5%两年银行质保函</v>
      </c>
    </row>
    <row r="180" ht="28" spans="1:13">
      <c r="A180" s="54">
        <v>0</v>
      </c>
      <c r="B180" s="54" t="str">
        <v>链条</v>
      </c>
      <c r="C180" s="54" t="str">
        <v>6mm</v>
      </c>
      <c r="D180" s="54">
        <v>0</v>
      </c>
      <c r="E180" s="54">
        <v>0</v>
      </c>
      <c r="F180" s="54">
        <v>0</v>
      </c>
      <c r="G180" s="54">
        <v>0</v>
      </c>
      <c r="H180" s="54">
        <v>2</v>
      </c>
      <c r="I180" s="54">
        <v>0.13</v>
      </c>
      <c r="J180" s="54">
        <v>105</v>
      </c>
      <c r="K180" s="54">
        <v>210</v>
      </c>
      <c r="L180" s="54" t="str">
        <v>东方</v>
      </c>
      <c r="M180" s="80" t="str">
        <v>2025.7.15，货到现场1个月付至到货金额95%，供货完成提供5%两年银行质保函</v>
      </c>
    </row>
    <row r="181" ht="28" spans="1:13">
      <c r="A181" s="54">
        <v>0</v>
      </c>
      <c r="B181" s="54" t="str">
        <v>浮球</v>
      </c>
      <c r="C181" s="54" t="str">
        <v>/</v>
      </c>
      <c r="D181" s="54">
        <v>0</v>
      </c>
      <c r="E181" s="54">
        <v>0</v>
      </c>
      <c r="F181" s="54">
        <v>0</v>
      </c>
      <c r="G181" s="54">
        <v>0</v>
      </c>
      <c r="H181" s="54">
        <v>2</v>
      </c>
      <c r="I181" s="54">
        <v>0.13</v>
      </c>
      <c r="J181" s="54">
        <v>70</v>
      </c>
      <c r="K181" s="54">
        <v>140</v>
      </c>
      <c r="L181" s="54" t="str">
        <v>东方</v>
      </c>
      <c r="M181" s="80" t="str">
        <v>2025.7.15，货到现场1个月付至到货金额95%，供货完成提供5%两年银行质保函</v>
      </c>
    </row>
    <row r="182" ht="28" spans="1:13">
      <c r="A182" s="54">
        <v>37</v>
      </c>
      <c r="B182" s="54" t="str">
        <v>B3地库冲洗集水井排水泵</v>
      </c>
      <c r="C182" s="54" t="str">
        <v>65WQ11091A</v>
      </c>
      <c r="D182" s="54">
        <v>25</v>
      </c>
      <c r="E182" s="54">
        <v>25</v>
      </c>
      <c r="F182" s="54">
        <v>2890</v>
      </c>
      <c r="G182" s="54">
        <v>4</v>
      </c>
      <c r="H182" s="54">
        <v>2</v>
      </c>
      <c r="I182" s="54">
        <v>0.13</v>
      </c>
      <c r="J182" s="54">
        <v>2330</v>
      </c>
      <c r="K182" s="54">
        <v>4660</v>
      </c>
      <c r="L182" s="54" t="str">
        <v>东方</v>
      </c>
      <c r="M182" s="80" t="str">
        <v>2025.7.15，货到现场1个月付至到货金额95%，供货完成提供5%两年银行质保函</v>
      </c>
    </row>
    <row r="183" ht="28" spans="1:13">
      <c r="A183" s="54">
        <v>0</v>
      </c>
      <c r="B183" s="54" t="str">
        <v>自耦</v>
      </c>
      <c r="C183" s="54" t="str">
        <v>GAK65</v>
      </c>
      <c r="D183" s="54">
        <v>0</v>
      </c>
      <c r="E183" s="54">
        <v>0</v>
      </c>
      <c r="F183" s="54">
        <v>0</v>
      </c>
      <c r="G183" s="54">
        <v>0</v>
      </c>
      <c r="H183" s="54">
        <v>2</v>
      </c>
      <c r="I183" s="54">
        <v>0.13</v>
      </c>
      <c r="J183" s="54">
        <v>500</v>
      </c>
      <c r="K183" s="54">
        <v>1000</v>
      </c>
      <c r="L183" s="54" t="str">
        <v>东方</v>
      </c>
      <c r="M183" s="80" t="str">
        <v>2025.7.15，货到现场1个月付至到货金额95%，供货完成提供5%两年银行质保函</v>
      </c>
    </row>
    <row r="184" ht="28" spans="1:13">
      <c r="A184" s="54">
        <v>0</v>
      </c>
      <c r="B184" s="54" t="str">
        <v>导杆</v>
      </c>
      <c r="C184" s="54" t="str">
        <v>32*1.2</v>
      </c>
      <c r="D184" s="54">
        <v>0</v>
      </c>
      <c r="E184" s="54">
        <v>0</v>
      </c>
      <c r="F184" s="54">
        <v>0</v>
      </c>
      <c r="G184" s="54">
        <v>0</v>
      </c>
      <c r="H184" s="54">
        <v>2</v>
      </c>
      <c r="I184" s="54">
        <v>0.13</v>
      </c>
      <c r="J184" s="54">
        <v>330</v>
      </c>
      <c r="K184" s="54">
        <v>660</v>
      </c>
      <c r="L184" s="54" t="str">
        <v>东方</v>
      </c>
      <c r="M184" s="80" t="str">
        <v>2025.7.15，货到现场1个月付至到货金额95%，供货完成提供5%两年银行质保函</v>
      </c>
    </row>
    <row r="185" ht="28" spans="1:13">
      <c r="A185" s="54">
        <v>0</v>
      </c>
      <c r="B185" s="54" t="str">
        <v>链条</v>
      </c>
      <c r="C185" s="54" t="str">
        <v>6mm</v>
      </c>
      <c r="D185" s="54">
        <v>0</v>
      </c>
      <c r="E185" s="54">
        <v>0</v>
      </c>
      <c r="F185" s="54">
        <v>0</v>
      </c>
      <c r="G185" s="54">
        <v>0</v>
      </c>
      <c r="H185" s="54">
        <v>2</v>
      </c>
      <c r="I185" s="54">
        <v>0.13</v>
      </c>
      <c r="J185" s="54">
        <v>105</v>
      </c>
      <c r="K185" s="54">
        <v>210</v>
      </c>
      <c r="L185" s="54" t="str">
        <v>东方</v>
      </c>
      <c r="M185" s="80" t="str">
        <v>2025.7.15，货到现场1个月付至到货金额95%，供货完成提供5%两年银行质保函</v>
      </c>
    </row>
    <row r="186" ht="28" spans="1:13">
      <c r="A186" s="54">
        <v>0</v>
      </c>
      <c r="B186" s="54" t="str">
        <v>浮球</v>
      </c>
      <c r="C186" s="54" t="str">
        <v>/</v>
      </c>
      <c r="D186" s="54">
        <v>0</v>
      </c>
      <c r="E186" s="54">
        <v>0</v>
      </c>
      <c r="F186" s="54">
        <v>0</v>
      </c>
      <c r="G186" s="54">
        <v>0</v>
      </c>
      <c r="H186" s="54">
        <v>2</v>
      </c>
      <c r="I186" s="54">
        <v>0.13</v>
      </c>
      <c r="J186" s="54">
        <v>70</v>
      </c>
      <c r="K186" s="54">
        <v>140</v>
      </c>
      <c r="L186" s="54" t="str">
        <v>东方</v>
      </c>
      <c r="M186" s="80" t="str">
        <v>2025.7.15，货到现场1个月付至到货金额95%，供货完成提供5%两年银行质保函</v>
      </c>
    </row>
    <row r="187" ht="28" spans="1:13">
      <c r="A187" s="54">
        <v>38</v>
      </c>
      <c r="B187" s="54" t="str">
        <v>B3普通电梯集水井排水泵</v>
      </c>
      <c r="C187" s="54" t="str">
        <v>50WQ11053</v>
      </c>
      <c r="D187" s="54">
        <v>10</v>
      </c>
      <c r="E187" s="54">
        <v>30</v>
      </c>
      <c r="F187" s="54">
        <v>2900</v>
      </c>
      <c r="G187" s="54">
        <v>3</v>
      </c>
      <c r="H187" s="54">
        <v>1</v>
      </c>
      <c r="I187" s="54">
        <v>0.13</v>
      </c>
      <c r="J187" s="54">
        <v>2265</v>
      </c>
      <c r="K187" s="54">
        <v>2265</v>
      </c>
      <c r="L187" s="54" t="str">
        <v>东方</v>
      </c>
      <c r="M187" s="80" t="str">
        <v>2025.7.15，货到现场1个月付至到货金额95%，供货完成提供5%两年银行质保函</v>
      </c>
    </row>
    <row r="188" ht="28" spans="1:13">
      <c r="A188" s="54">
        <v>0</v>
      </c>
      <c r="B188" s="54" t="str">
        <v>自耦</v>
      </c>
      <c r="C188" s="54" t="str">
        <v>GAK50</v>
      </c>
      <c r="D188" s="54">
        <v>0</v>
      </c>
      <c r="E188" s="54">
        <v>0</v>
      </c>
      <c r="F188" s="54">
        <v>0</v>
      </c>
      <c r="G188" s="54">
        <v>0</v>
      </c>
      <c r="H188" s="54">
        <v>1</v>
      </c>
      <c r="I188" s="54">
        <v>0.13</v>
      </c>
      <c r="J188" s="54">
        <v>400</v>
      </c>
      <c r="K188" s="54">
        <v>400</v>
      </c>
      <c r="L188" s="54" t="str">
        <v>东方</v>
      </c>
      <c r="M188" s="80" t="str">
        <v>2025.7.15，货到现场1个月付至到货金额95%，供货完成提供5%两年银行质保函</v>
      </c>
    </row>
    <row r="189" ht="28" spans="1:13">
      <c r="A189" s="54">
        <v>0</v>
      </c>
      <c r="B189" s="54" t="str">
        <v>导杆</v>
      </c>
      <c r="C189" s="54" t="str">
        <v>32*1.2</v>
      </c>
      <c r="D189" s="54">
        <v>0</v>
      </c>
      <c r="E189" s="54">
        <v>0</v>
      </c>
      <c r="F189" s="54">
        <v>0</v>
      </c>
      <c r="G189" s="54">
        <v>0</v>
      </c>
      <c r="H189" s="54">
        <v>1</v>
      </c>
      <c r="I189" s="54">
        <v>0.13</v>
      </c>
      <c r="J189" s="54">
        <v>950</v>
      </c>
      <c r="K189" s="54">
        <v>950</v>
      </c>
      <c r="L189" s="54" t="str">
        <v>东方</v>
      </c>
      <c r="M189" s="80" t="str">
        <v>2025.7.15，货到现场1个月付至到货金额95%，供货完成提供5%两年银行质保函</v>
      </c>
    </row>
    <row r="190" ht="28" spans="1:13">
      <c r="A190" s="54">
        <v>0</v>
      </c>
      <c r="B190" s="54" t="str">
        <v>链条</v>
      </c>
      <c r="C190" s="54" t="str">
        <v>6mm</v>
      </c>
      <c r="D190" s="54">
        <v>0</v>
      </c>
      <c r="E190" s="54">
        <v>0</v>
      </c>
      <c r="F190" s="54">
        <v>0</v>
      </c>
      <c r="G190" s="54">
        <v>0</v>
      </c>
      <c r="H190" s="54">
        <v>1</v>
      </c>
      <c r="I190" s="54">
        <v>0.13</v>
      </c>
      <c r="J190" s="54">
        <v>300</v>
      </c>
      <c r="K190" s="54">
        <v>300</v>
      </c>
      <c r="L190" s="54" t="str">
        <v>东方</v>
      </c>
      <c r="M190" s="80" t="str">
        <v>2025.7.15，货到现场1个月付至到货金额95%，供货完成提供5%两年银行质保函</v>
      </c>
    </row>
    <row r="191" ht="28" spans="1:13">
      <c r="A191" s="54">
        <v>0</v>
      </c>
      <c r="B191" s="54" t="str">
        <v>浮球</v>
      </c>
      <c r="C191" s="54" t="str">
        <v>/</v>
      </c>
      <c r="D191" s="54">
        <v>0</v>
      </c>
      <c r="E191" s="54">
        <v>0</v>
      </c>
      <c r="F191" s="54">
        <v>0</v>
      </c>
      <c r="G191" s="54">
        <v>0</v>
      </c>
      <c r="H191" s="54">
        <v>1</v>
      </c>
      <c r="I191" s="54">
        <v>0.13</v>
      </c>
      <c r="J191" s="54">
        <v>120</v>
      </c>
      <c r="K191" s="54">
        <v>120</v>
      </c>
      <c r="L191" s="54" t="str">
        <v>东方</v>
      </c>
      <c r="M191" s="80" t="str">
        <v>2025.7.15，货到现场1个月付至到货金额95%，供货完成提供5%两年银行质保函</v>
      </c>
    </row>
    <row r="192" ht="28" spans="1:13">
      <c r="A192" s="54">
        <v>39</v>
      </c>
      <c r="B192" s="54" t="str">
        <v>B3地库冲洗集水井排水泵</v>
      </c>
      <c r="C192" s="54" t="str">
        <v>65WQ11091A</v>
      </c>
      <c r="D192" s="54">
        <v>25</v>
      </c>
      <c r="E192" s="54">
        <v>25</v>
      </c>
      <c r="F192" s="54">
        <v>2890</v>
      </c>
      <c r="G192" s="54">
        <v>4</v>
      </c>
      <c r="H192" s="54">
        <v>2</v>
      </c>
      <c r="I192" s="54">
        <v>0.13</v>
      </c>
      <c r="J192" s="54">
        <v>2330</v>
      </c>
      <c r="K192" s="54">
        <v>4660</v>
      </c>
      <c r="L192" s="54" t="str">
        <v>东方</v>
      </c>
      <c r="M192" s="80" t="str">
        <v>2025.7.15，货到现场1个月付至到货金额95%，供货完成提供5%两年银行质保函</v>
      </c>
    </row>
    <row r="193" ht="28" spans="1:13">
      <c r="A193" s="54">
        <v>0</v>
      </c>
      <c r="B193" s="54" t="str">
        <v>自耦</v>
      </c>
      <c r="C193" s="54" t="str">
        <v>GAK65</v>
      </c>
      <c r="D193" s="54">
        <v>0</v>
      </c>
      <c r="E193" s="54">
        <v>0</v>
      </c>
      <c r="F193" s="54">
        <v>0</v>
      </c>
      <c r="G193" s="54">
        <v>0</v>
      </c>
      <c r="H193" s="54">
        <v>2</v>
      </c>
      <c r="I193" s="54">
        <v>0.13</v>
      </c>
      <c r="J193" s="54">
        <v>500</v>
      </c>
      <c r="K193" s="54">
        <v>1000</v>
      </c>
      <c r="L193" s="54" t="str">
        <v>东方</v>
      </c>
      <c r="M193" s="80" t="str">
        <v>2025.7.15，货到现场1个月付至到货金额95%，供货完成提供5%两年银行质保函</v>
      </c>
    </row>
    <row r="194" ht="28" spans="1:13">
      <c r="A194" s="54">
        <v>0</v>
      </c>
      <c r="B194" s="54" t="str">
        <v>导杆</v>
      </c>
      <c r="C194" s="54" t="str">
        <v>32*1.2</v>
      </c>
      <c r="D194" s="54">
        <v>0</v>
      </c>
      <c r="E194" s="54">
        <v>0</v>
      </c>
      <c r="F194" s="54">
        <v>0</v>
      </c>
      <c r="G194" s="54">
        <v>0</v>
      </c>
      <c r="H194" s="54">
        <v>2</v>
      </c>
      <c r="I194" s="54">
        <v>0.13</v>
      </c>
      <c r="J194" s="54">
        <v>330</v>
      </c>
      <c r="K194" s="54">
        <v>660</v>
      </c>
      <c r="L194" s="54" t="str">
        <v>东方</v>
      </c>
      <c r="M194" s="80" t="str">
        <v>2025.7.15，货到现场1个月付至到货金额95%，供货完成提供5%两年银行质保函</v>
      </c>
    </row>
    <row r="195" ht="28" spans="1:13">
      <c r="A195" s="54">
        <v>0</v>
      </c>
      <c r="B195" s="54" t="str">
        <v>链条</v>
      </c>
      <c r="C195" s="54" t="str">
        <v>/</v>
      </c>
      <c r="D195" s="54">
        <v>0</v>
      </c>
      <c r="E195" s="54">
        <v>0</v>
      </c>
      <c r="F195" s="54">
        <v>0</v>
      </c>
      <c r="G195" s="54">
        <v>0</v>
      </c>
      <c r="H195" s="54">
        <v>2</v>
      </c>
      <c r="I195" s="54">
        <v>0.13</v>
      </c>
      <c r="J195" s="54">
        <v>105</v>
      </c>
      <c r="K195" s="54">
        <v>210</v>
      </c>
      <c r="L195" s="54" t="str">
        <v>东方</v>
      </c>
      <c r="M195" s="80" t="str">
        <v>2025.7.15，货到现场1个月付至到货金额95%，供货完成提供5%两年银行质保函</v>
      </c>
    </row>
    <row r="196" ht="28" spans="1:13">
      <c r="A196" s="54">
        <v>0</v>
      </c>
      <c r="B196" s="54" t="str">
        <v>浮球</v>
      </c>
      <c r="C196" s="54" t="str">
        <v>/</v>
      </c>
      <c r="D196" s="54">
        <v>0</v>
      </c>
      <c r="E196" s="54">
        <v>0</v>
      </c>
      <c r="F196" s="54">
        <v>0</v>
      </c>
      <c r="G196" s="54">
        <v>0</v>
      </c>
      <c r="H196" s="54">
        <v>2</v>
      </c>
      <c r="I196" s="54">
        <v>0.13</v>
      </c>
      <c r="J196" s="54">
        <v>70</v>
      </c>
      <c r="K196" s="54">
        <v>140</v>
      </c>
      <c r="L196" s="54" t="str">
        <v>东方</v>
      </c>
      <c r="M196" s="80" t="str">
        <v>2025.7.15，货到现场1个月付至到货金额95%，供货完成提供5%两年银行质保函</v>
      </c>
    </row>
    <row r="197" ht="28" spans="1:13">
      <c r="A197" s="54">
        <v>40</v>
      </c>
      <c r="B197" s="54" t="str">
        <v>B3地库冲洗集水井排水泵</v>
      </c>
      <c r="C197" s="54" t="str">
        <v>65WQ11091A</v>
      </c>
      <c r="D197" s="54">
        <v>25</v>
      </c>
      <c r="E197" s="54">
        <v>25</v>
      </c>
      <c r="F197" s="54">
        <v>2890</v>
      </c>
      <c r="G197" s="54">
        <v>4</v>
      </c>
      <c r="H197" s="54">
        <v>2</v>
      </c>
      <c r="I197" s="54">
        <v>0.13</v>
      </c>
      <c r="J197" s="54">
        <v>2330</v>
      </c>
      <c r="K197" s="54">
        <v>4660</v>
      </c>
      <c r="L197" s="54" t="str">
        <v>东方</v>
      </c>
      <c r="M197" s="80" t="str">
        <v>2025.7.15，货到现场1个月付至到货金额95%，供货完成提供5%两年银行质保函</v>
      </c>
    </row>
    <row r="198" ht="28" spans="1:13">
      <c r="A198" s="54">
        <v>0</v>
      </c>
      <c r="B198" s="54" t="str">
        <v>自耦</v>
      </c>
      <c r="C198" s="54" t="str">
        <v>GAK65</v>
      </c>
      <c r="D198" s="54">
        <v>0</v>
      </c>
      <c r="E198" s="54">
        <v>0</v>
      </c>
      <c r="F198" s="54">
        <v>0</v>
      </c>
      <c r="G198" s="54">
        <v>0</v>
      </c>
      <c r="H198" s="54">
        <v>2</v>
      </c>
      <c r="I198" s="54">
        <v>0.13</v>
      </c>
      <c r="J198" s="54">
        <v>500</v>
      </c>
      <c r="K198" s="54">
        <v>1000</v>
      </c>
      <c r="L198" s="54" t="str">
        <v>东方</v>
      </c>
      <c r="M198" s="80" t="str">
        <v>2025.7.15，货到现场1个月付至到货金额95%，供货完成提供5%两年银行质保函</v>
      </c>
    </row>
    <row r="199" ht="28" spans="1:13">
      <c r="A199" s="54">
        <v>0</v>
      </c>
      <c r="B199" s="54" t="str">
        <v>导杆</v>
      </c>
      <c r="C199" s="54" t="str">
        <v>32*1.2</v>
      </c>
      <c r="D199" s="54">
        <v>0</v>
      </c>
      <c r="E199" s="54">
        <v>0</v>
      </c>
      <c r="F199" s="54">
        <v>0</v>
      </c>
      <c r="G199" s="54">
        <v>0</v>
      </c>
      <c r="H199" s="54">
        <v>2</v>
      </c>
      <c r="I199" s="54">
        <v>0.13</v>
      </c>
      <c r="J199" s="54">
        <v>330</v>
      </c>
      <c r="K199" s="54">
        <v>660</v>
      </c>
      <c r="L199" s="54" t="str">
        <v>东方</v>
      </c>
      <c r="M199" s="80" t="str">
        <v>2025.7.15，货到现场1个月付至到货金额95%，供货完成提供5%两年银行质保函</v>
      </c>
    </row>
    <row r="200" ht="28" spans="1:13">
      <c r="A200" s="54">
        <v>0</v>
      </c>
      <c r="B200" s="54" t="str">
        <v>链条</v>
      </c>
      <c r="C200" s="54" t="str">
        <v>6mm</v>
      </c>
      <c r="D200" s="54">
        <v>0</v>
      </c>
      <c r="E200" s="54">
        <v>0</v>
      </c>
      <c r="F200" s="54">
        <v>0</v>
      </c>
      <c r="G200" s="54">
        <v>0</v>
      </c>
      <c r="H200" s="54">
        <v>2</v>
      </c>
      <c r="I200" s="54">
        <v>0.13</v>
      </c>
      <c r="J200" s="54">
        <v>105</v>
      </c>
      <c r="K200" s="54">
        <v>210</v>
      </c>
      <c r="L200" s="54" t="str">
        <v>东方</v>
      </c>
      <c r="M200" s="80" t="str">
        <v>2025.7.15，货到现场1个月付至到货金额95%，供货完成提供5%两年银行质保函</v>
      </c>
    </row>
    <row r="201" ht="28" spans="1:13">
      <c r="A201" s="54">
        <v>0</v>
      </c>
      <c r="B201" s="54" t="str">
        <v>浮球</v>
      </c>
      <c r="C201" s="54" t="str">
        <v>/</v>
      </c>
      <c r="D201" s="54">
        <v>0</v>
      </c>
      <c r="E201" s="54">
        <v>0</v>
      </c>
      <c r="F201" s="54">
        <v>0</v>
      </c>
      <c r="G201" s="54">
        <v>0</v>
      </c>
      <c r="H201" s="54">
        <v>2</v>
      </c>
      <c r="I201" s="54">
        <v>0.13</v>
      </c>
      <c r="J201" s="54">
        <v>70</v>
      </c>
      <c r="K201" s="54">
        <v>140</v>
      </c>
      <c r="L201" s="54" t="str">
        <v>东方</v>
      </c>
      <c r="M201" s="80" t="str">
        <v>2025.7.15，货到现场1个月付至到货金额95%，供货完成提供5%两年银行质保函</v>
      </c>
    </row>
    <row r="202" ht="28" spans="1:13">
      <c r="A202" s="54">
        <v>41</v>
      </c>
      <c r="B202" s="54" t="str">
        <v>B3生活水泵房集水井排水泵</v>
      </c>
      <c r="C202" s="54" t="str">
        <v>65WQ11085</v>
      </c>
      <c r="D202" s="54">
        <v>40</v>
      </c>
      <c r="E202" s="54">
        <v>30</v>
      </c>
      <c r="F202" s="54">
        <v>2900</v>
      </c>
      <c r="G202" s="54">
        <v>5.5</v>
      </c>
      <c r="H202" s="54">
        <v>3</v>
      </c>
      <c r="I202" s="54">
        <v>0.13</v>
      </c>
      <c r="J202" s="54">
        <v>3500</v>
      </c>
      <c r="K202" s="54">
        <v>10500</v>
      </c>
      <c r="L202" s="54" t="str">
        <v>东方</v>
      </c>
      <c r="M202" s="80" t="str">
        <v>2025.7.15，货到现场1个月付至到货金额95%，供货完成提供5%两年银行质保函</v>
      </c>
    </row>
    <row r="203" ht="28" spans="1:13">
      <c r="A203" s="54">
        <v>0</v>
      </c>
      <c r="B203" s="54" t="str">
        <v>自耦</v>
      </c>
      <c r="C203" s="54" t="str">
        <v>GAK65</v>
      </c>
      <c r="D203" s="54">
        <v>0</v>
      </c>
      <c r="E203" s="54">
        <v>0</v>
      </c>
      <c r="F203" s="54">
        <v>0</v>
      </c>
      <c r="G203" s="54">
        <v>0</v>
      </c>
      <c r="H203" s="54">
        <v>3</v>
      </c>
      <c r="I203" s="54">
        <v>0.13</v>
      </c>
      <c r="J203" s="54">
        <v>500</v>
      </c>
      <c r="K203" s="54">
        <v>1500</v>
      </c>
      <c r="L203" s="54" t="str">
        <v>东方</v>
      </c>
      <c r="M203" s="80" t="str">
        <v>2025.7.15，货到现场1个月付至到货金额95%，供货完成提供5%两年银行质保函</v>
      </c>
    </row>
    <row r="204" ht="28" spans="1:13">
      <c r="A204" s="54">
        <v>0</v>
      </c>
      <c r="B204" s="54" t="str">
        <v>导杆</v>
      </c>
      <c r="C204" s="54" t="str">
        <v>32*1.2</v>
      </c>
      <c r="D204" s="54">
        <v>0</v>
      </c>
      <c r="E204" s="54">
        <v>0</v>
      </c>
      <c r="F204" s="54">
        <v>0</v>
      </c>
      <c r="G204" s="54">
        <v>0</v>
      </c>
      <c r="H204" s="54">
        <v>3</v>
      </c>
      <c r="I204" s="54">
        <v>0.13</v>
      </c>
      <c r="J204" s="54">
        <v>330</v>
      </c>
      <c r="K204" s="54">
        <v>990</v>
      </c>
      <c r="L204" s="54" t="str">
        <v>东方</v>
      </c>
      <c r="M204" s="80" t="str">
        <v>2025.7.15，货到现场1个月付至到货金额95%，供货完成提供5%两年银行质保函</v>
      </c>
    </row>
    <row r="205" ht="28" spans="1:13">
      <c r="A205" s="54">
        <v>0</v>
      </c>
      <c r="B205" s="54" t="str">
        <v>链条</v>
      </c>
      <c r="C205" s="54" t="str">
        <v>6mm</v>
      </c>
      <c r="D205" s="54">
        <v>0</v>
      </c>
      <c r="E205" s="54">
        <v>0</v>
      </c>
      <c r="F205" s="54">
        <v>0</v>
      </c>
      <c r="G205" s="54">
        <v>0</v>
      </c>
      <c r="H205" s="54">
        <v>3</v>
      </c>
      <c r="I205" s="54">
        <v>0.13</v>
      </c>
      <c r="J205" s="54">
        <v>105</v>
      </c>
      <c r="K205" s="54">
        <v>315</v>
      </c>
      <c r="L205" s="54" t="str">
        <v>东方</v>
      </c>
      <c r="M205" s="80" t="str">
        <v>2025.7.15，货到现场1个月付至到货金额95%，供货完成提供5%两年银行质保函</v>
      </c>
    </row>
    <row r="206" ht="28" spans="1:13">
      <c r="A206" s="54">
        <v>0</v>
      </c>
      <c r="B206" s="54" t="str">
        <v>浮球</v>
      </c>
      <c r="C206" s="54" t="str">
        <v>/</v>
      </c>
      <c r="D206" s="54">
        <v>0</v>
      </c>
      <c r="E206" s="54">
        <v>0</v>
      </c>
      <c r="F206" s="54">
        <v>0</v>
      </c>
      <c r="G206" s="54">
        <v>0</v>
      </c>
      <c r="H206" s="54">
        <v>3</v>
      </c>
      <c r="I206" s="54">
        <v>0.13</v>
      </c>
      <c r="J206" s="54">
        <v>70</v>
      </c>
      <c r="K206" s="54">
        <v>210</v>
      </c>
      <c r="L206" s="54" t="str">
        <v>东方</v>
      </c>
      <c r="M206" s="80" t="str">
        <v>2025.7.15，货到现场1个月付至到货金额95%，供货完成提供5%两年银行质保函</v>
      </c>
    </row>
    <row r="207" ht="28" spans="1:13">
      <c r="A207" s="54">
        <v>42</v>
      </c>
      <c r="B207" s="54" t="str">
        <v>B3地库冲洗集水井排水泵</v>
      </c>
      <c r="C207" s="54" t="str">
        <v>65WQ11091A</v>
      </c>
      <c r="D207" s="54">
        <v>25</v>
      </c>
      <c r="E207" s="54">
        <v>25</v>
      </c>
      <c r="F207" s="54">
        <v>2890</v>
      </c>
      <c r="G207" s="54">
        <v>4</v>
      </c>
      <c r="H207" s="54">
        <v>2</v>
      </c>
      <c r="I207" s="54">
        <v>0.13</v>
      </c>
      <c r="J207" s="54">
        <v>2330</v>
      </c>
      <c r="K207" s="54">
        <v>4660</v>
      </c>
      <c r="L207" s="54" t="str">
        <v>东方</v>
      </c>
      <c r="M207" s="80" t="str">
        <v>2025.7.15，货到现场1个月付至到货金额95%，供货完成提供5%两年银行质保函</v>
      </c>
    </row>
    <row r="208" ht="28" spans="1:13">
      <c r="A208" s="54">
        <v>0</v>
      </c>
      <c r="B208" s="54" t="str">
        <v>自耦</v>
      </c>
      <c r="C208" s="54" t="str">
        <v>GAK65</v>
      </c>
      <c r="D208" s="54">
        <v>0</v>
      </c>
      <c r="E208" s="54">
        <v>0</v>
      </c>
      <c r="F208" s="54">
        <v>0</v>
      </c>
      <c r="G208" s="54">
        <v>0</v>
      </c>
      <c r="H208" s="54">
        <v>2</v>
      </c>
      <c r="I208" s="54">
        <v>0.13</v>
      </c>
      <c r="J208" s="54">
        <v>500</v>
      </c>
      <c r="K208" s="54">
        <v>1000</v>
      </c>
      <c r="L208" s="54" t="str">
        <v>东方</v>
      </c>
      <c r="M208" s="80" t="str">
        <v>2025.7.15，货到现场1个月付至到货金额95%，供货完成提供5%两年银行质保函</v>
      </c>
    </row>
    <row r="209" ht="28" spans="1:13">
      <c r="A209" s="54">
        <v>0</v>
      </c>
      <c r="B209" s="54" t="str">
        <v>导杆</v>
      </c>
      <c r="C209" s="54" t="str">
        <v>32*1.2</v>
      </c>
      <c r="D209" s="54">
        <v>0</v>
      </c>
      <c r="E209" s="54">
        <v>0</v>
      </c>
      <c r="F209" s="54">
        <v>0</v>
      </c>
      <c r="G209" s="54">
        <v>0</v>
      </c>
      <c r="H209" s="54">
        <v>2</v>
      </c>
      <c r="I209" s="54">
        <v>0.13</v>
      </c>
      <c r="J209" s="54">
        <v>330</v>
      </c>
      <c r="K209" s="54">
        <v>660</v>
      </c>
      <c r="L209" s="54" t="str">
        <v>东方</v>
      </c>
      <c r="M209" s="80" t="str">
        <v>2025.7.15，货到现场1个月付至到货金额95%，供货完成提供5%两年银行质保函</v>
      </c>
    </row>
    <row r="210" ht="28" spans="1:13">
      <c r="A210" s="54">
        <v>0</v>
      </c>
      <c r="B210" s="54" t="str">
        <v>链条</v>
      </c>
      <c r="C210" s="54" t="str">
        <v>6mm</v>
      </c>
      <c r="D210" s="54">
        <v>0</v>
      </c>
      <c r="E210" s="54">
        <v>0</v>
      </c>
      <c r="F210" s="54">
        <v>0</v>
      </c>
      <c r="G210" s="54">
        <v>0</v>
      </c>
      <c r="H210" s="54">
        <v>2</v>
      </c>
      <c r="I210" s="54">
        <v>0.13</v>
      </c>
      <c r="J210" s="54">
        <v>105</v>
      </c>
      <c r="K210" s="54">
        <v>210</v>
      </c>
      <c r="L210" s="54" t="str">
        <v>东方</v>
      </c>
      <c r="M210" s="80" t="str">
        <v>2025.7.15，货到现场1个月付至到货金额95%，供货完成提供5%两年银行质保函</v>
      </c>
    </row>
    <row r="211" ht="28" spans="1:13">
      <c r="A211" s="54">
        <v>0</v>
      </c>
      <c r="B211" s="54" t="str">
        <v>浮球</v>
      </c>
      <c r="C211" s="54" t="str">
        <v>/</v>
      </c>
      <c r="D211" s="54">
        <v>0</v>
      </c>
      <c r="E211" s="54">
        <v>0</v>
      </c>
      <c r="F211" s="54">
        <v>0</v>
      </c>
      <c r="G211" s="54">
        <v>0</v>
      </c>
      <c r="H211" s="54">
        <v>2</v>
      </c>
      <c r="I211" s="54">
        <v>0.13</v>
      </c>
      <c r="J211" s="54">
        <v>70</v>
      </c>
      <c r="K211" s="54">
        <v>140</v>
      </c>
      <c r="L211" s="54" t="str">
        <v>东方</v>
      </c>
      <c r="M211" s="80" t="str">
        <v>2025.7.15，货到现场1个月付至到货金额95%，供货完成提供5%两年银行质保函</v>
      </c>
    </row>
    <row r="212" ht="28" spans="1:13">
      <c r="A212" s="54">
        <v>43</v>
      </c>
      <c r="B212" s="54" t="str">
        <v>B3地库冲洗集水井排水泵</v>
      </c>
      <c r="C212" s="54" t="str">
        <v>65WQ11091A</v>
      </c>
      <c r="D212" s="54">
        <v>25</v>
      </c>
      <c r="E212" s="54">
        <v>25</v>
      </c>
      <c r="F212" s="54">
        <v>2890</v>
      </c>
      <c r="G212" s="54">
        <v>4</v>
      </c>
      <c r="H212" s="54">
        <v>2</v>
      </c>
      <c r="I212" s="54">
        <v>0.13</v>
      </c>
      <c r="J212" s="54">
        <v>2330</v>
      </c>
      <c r="K212" s="54">
        <v>4660</v>
      </c>
      <c r="L212" s="54" t="str">
        <v>东方</v>
      </c>
      <c r="M212" s="80" t="str">
        <v>2025.7.15，货到现场1个月付至到货金额95%，供货完成提供5%两年银行质保函</v>
      </c>
    </row>
    <row r="213" ht="28" spans="1:13">
      <c r="A213" s="54">
        <v>0</v>
      </c>
      <c r="B213" s="54" t="str">
        <v>自耦</v>
      </c>
      <c r="C213" s="54" t="str">
        <v>GAK65</v>
      </c>
      <c r="D213" s="54">
        <v>0</v>
      </c>
      <c r="E213" s="54">
        <v>0</v>
      </c>
      <c r="F213" s="54">
        <v>0</v>
      </c>
      <c r="G213" s="54">
        <v>0</v>
      </c>
      <c r="H213" s="54">
        <v>2</v>
      </c>
      <c r="I213" s="54">
        <v>0.13</v>
      </c>
      <c r="J213" s="54">
        <v>500</v>
      </c>
      <c r="K213" s="54">
        <v>1000</v>
      </c>
      <c r="L213" s="54" t="str">
        <v>东方</v>
      </c>
      <c r="M213" s="80" t="str">
        <v>2025.7.15，货到现场1个月付至到货金额95%，供货完成提供5%两年银行质保函</v>
      </c>
    </row>
    <row r="214" ht="28" spans="1:13">
      <c r="A214" s="54">
        <v>0</v>
      </c>
      <c r="B214" s="54" t="str">
        <v>导杆</v>
      </c>
      <c r="C214" s="54" t="str">
        <v>32*1.2</v>
      </c>
      <c r="D214" s="54">
        <v>0</v>
      </c>
      <c r="E214" s="54">
        <v>0</v>
      </c>
      <c r="F214" s="54">
        <v>0</v>
      </c>
      <c r="G214" s="54">
        <v>0</v>
      </c>
      <c r="H214" s="54">
        <v>2</v>
      </c>
      <c r="I214" s="54">
        <v>0.13</v>
      </c>
      <c r="J214" s="54">
        <v>330</v>
      </c>
      <c r="K214" s="54">
        <v>660</v>
      </c>
      <c r="L214" s="54" t="str">
        <v>东方</v>
      </c>
      <c r="M214" s="80" t="str">
        <v>2025.7.15，货到现场1个月付至到货金额95%，供货完成提供5%两年银行质保函</v>
      </c>
    </row>
    <row r="215" ht="28" spans="1:13">
      <c r="A215" s="54">
        <v>0</v>
      </c>
      <c r="B215" s="54" t="str">
        <v>链条</v>
      </c>
      <c r="C215" s="54" t="str">
        <v>6mm</v>
      </c>
      <c r="D215" s="54">
        <v>0</v>
      </c>
      <c r="E215" s="54">
        <v>0</v>
      </c>
      <c r="F215" s="54">
        <v>0</v>
      </c>
      <c r="G215" s="54">
        <v>0</v>
      </c>
      <c r="H215" s="54">
        <v>2</v>
      </c>
      <c r="I215" s="54">
        <v>0.13</v>
      </c>
      <c r="J215" s="54">
        <v>105</v>
      </c>
      <c r="K215" s="54">
        <v>210</v>
      </c>
      <c r="L215" s="54" t="str">
        <v>东方</v>
      </c>
      <c r="M215" s="80" t="str">
        <v>2025.7.15，货到现场1个月付至到货金额95%，供货完成提供5%两年银行质保函</v>
      </c>
    </row>
    <row r="216" ht="28" spans="1:13">
      <c r="A216" s="54">
        <v>0</v>
      </c>
      <c r="B216" s="54" t="str">
        <v>浮球</v>
      </c>
      <c r="C216" s="54" t="str">
        <v>/</v>
      </c>
      <c r="D216" s="54">
        <v>0</v>
      </c>
      <c r="E216" s="54">
        <v>0</v>
      </c>
      <c r="F216" s="54">
        <v>0</v>
      </c>
      <c r="G216" s="54">
        <v>0</v>
      </c>
      <c r="H216" s="54">
        <v>2</v>
      </c>
      <c r="I216" s="54">
        <v>0.13</v>
      </c>
      <c r="J216" s="54">
        <v>70</v>
      </c>
      <c r="K216" s="54">
        <v>140</v>
      </c>
      <c r="L216" s="54" t="str">
        <v>东方</v>
      </c>
      <c r="M216" s="80" t="str">
        <v>2025.7.15，货到现场1个月付至到货金额95%，供货完成提供5%两年银行质保函</v>
      </c>
    </row>
    <row r="217" ht="28" spans="1:13">
      <c r="A217" s="54">
        <v>44</v>
      </c>
      <c r="B217" s="54" t="str">
        <v>B3消防电梯集水井排水泵</v>
      </c>
      <c r="C217" s="54" t="str">
        <v>65WQ11085</v>
      </c>
      <c r="D217" s="54">
        <v>40</v>
      </c>
      <c r="E217" s="54">
        <v>30</v>
      </c>
      <c r="F217" s="54">
        <v>2900</v>
      </c>
      <c r="G217" s="54">
        <v>5.5</v>
      </c>
      <c r="H217" s="54">
        <v>2</v>
      </c>
      <c r="I217" s="54">
        <v>0.13</v>
      </c>
      <c r="J217" s="54">
        <v>3500</v>
      </c>
      <c r="K217" s="54">
        <v>7000</v>
      </c>
      <c r="L217" s="54" t="str">
        <v>东方</v>
      </c>
      <c r="M217" s="80" t="str">
        <v>2025.7.15，货到现场1个月付至到货金额95%，供货完成提供5%两年银行质保函</v>
      </c>
    </row>
    <row r="218" ht="28" spans="1:13">
      <c r="A218" s="54">
        <v>0</v>
      </c>
      <c r="B218" s="54" t="str">
        <v>自耦</v>
      </c>
      <c r="C218" s="54" t="str">
        <v>GAK65</v>
      </c>
      <c r="D218" s="54">
        <v>0</v>
      </c>
      <c r="E218" s="54">
        <v>0</v>
      </c>
      <c r="F218" s="54">
        <v>0</v>
      </c>
      <c r="G218" s="54">
        <v>0</v>
      </c>
      <c r="H218" s="54">
        <v>2</v>
      </c>
      <c r="I218" s="54">
        <v>0.13</v>
      </c>
      <c r="J218" s="54">
        <v>500</v>
      </c>
      <c r="K218" s="54">
        <v>1000</v>
      </c>
      <c r="L218" s="54" t="str">
        <v>东方</v>
      </c>
      <c r="M218" s="80" t="str">
        <v>2025.7.15，货到现场1个月付至到货金额95%，供货完成提供5%两年银行质保函</v>
      </c>
    </row>
    <row r="219" ht="28" spans="1:13">
      <c r="A219" s="54">
        <v>0</v>
      </c>
      <c r="B219" s="54" t="str">
        <v>导杆</v>
      </c>
      <c r="C219" s="54" t="str">
        <v>32*1.2</v>
      </c>
      <c r="D219" s="54">
        <v>0</v>
      </c>
      <c r="E219" s="54">
        <v>0</v>
      </c>
      <c r="F219" s="54">
        <v>0</v>
      </c>
      <c r="G219" s="54">
        <v>0</v>
      </c>
      <c r="H219" s="54">
        <v>2</v>
      </c>
      <c r="I219" s="54">
        <v>0.13</v>
      </c>
      <c r="J219" s="54">
        <v>760</v>
      </c>
      <c r="K219" s="54">
        <v>1520</v>
      </c>
      <c r="L219" s="54" t="str">
        <v>东方</v>
      </c>
      <c r="M219" s="80" t="str">
        <v>2025.7.15，货到现场1个月付至到货金额95%，供货完成提供5%两年银行质保函</v>
      </c>
    </row>
    <row r="220" ht="28" spans="1:13">
      <c r="A220" s="54">
        <v>0</v>
      </c>
      <c r="B220" s="54" t="str">
        <v>链条</v>
      </c>
      <c r="C220" s="54" t="str">
        <v>6mm</v>
      </c>
      <c r="D220" s="54">
        <v>0</v>
      </c>
      <c r="E220" s="54">
        <v>0</v>
      </c>
      <c r="F220" s="54">
        <v>0</v>
      </c>
      <c r="G220" s="54">
        <v>0</v>
      </c>
      <c r="H220" s="54">
        <v>2</v>
      </c>
      <c r="I220" s="54">
        <v>0.13</v>
      </c>
      <c r="J220" s="54">
        <v>240</v>
      </c>
      <c r="K220" s="54">
        <v>480</v>
      </c>
      <c r="L220" s="54" t="str">
        <v>东方</v>
      </c>
      <c r="M220" s="80" t="str">
        <v>2025.7.15，货到现场1个月付至到货金额95%，供货完成提供5%两年银行质保函</v>
      </c>
    </row>
    <row r="221" ht="28" spans="1:13">
      <c r="A221" s="54">
        <v>0</v>
      </c>
      <c r="B221" s="54" t="str">
        <v>浮球</v>
      </c>
      <c r="C221" s="54" t="str">
        <v>/</v>
      </c>
      <c r="D221" s="54">
        <v>0</v>
      </c>
      <c r="E221" s="54">
        <v>0</v>
      </c>
      <c r="F221" s="54">
        <v>0</v>
      </c>
      <c r="G221" s="54">
        <v>0</v>
      </c>
      <c r="H221" s="54">
        <v>2</v>
      </c>
      <c r="I221" s="54">
        <v>0.13</v>
      </c>
      <c r="J221" s="54">
        <v>120</v>
      </c>
      <c r="K221" s="54">
        <v>240</v>
      </c>
      <c r="L221" s="54" t="str">
        <v>东方</v>
      </c>
      <c r="M221" s="80" t="str">
        <v>2025.7.15，货到现场1个月付至到货金额95%，供货完成提供5%两年银行质保函</v>
      </c>
    </row>
    <row r="222" ht="28" spans="1:13">
      <c r="A222" s="54">
        <v>45</v>
      </c>
      <c r="B222" s="54" t="str">
        <v>人防区移动电站集水井</v>
      </c>
      <c r="C222" s="54" t="str">
        <v>50WQ11063</v>
      </c>
      <c r="D222" s="54">
        <v>12</v>
      </c>
      <c r="E222" s="54">
        <v>22</v>
      </c>
      <c r="F222" s="54">
        <v>2840</v>
      </c>
      <c r="G222" s="54">
        <v>2.2</v>
      </c>
      <c r="H222" s="54">
        <v>1</v>
      </c>
      <c r="I222" s="54">
        <v>0.13</v>
      </c>
      <c r="J222" s="54">
        <v>1600</v>
      </c>
      <c r="K222" s="54">
        <v>1600</v>
      </c>
      <c r="L222" s="54" t="str">
        <v>东方</v>
      </c>
      <c r="M222" s="80" t="str">
        <v>2025.7.15，货到现场1个月付至到货金额95%，供货完成提供5%两年银行质保函</v>
      </c>
    </row>
    <row r="223" ht="28" spans="1:13">
      <c r="A223" s="54">
        <v>0</v>
      </c>
      <c r="B223" s="54" t="str">
        <v>自耦</v>
      </c>
      <c r="C223" s="54" t="str">
        <v>GAK50</v>
      </c>
      <c r="D223" s="54">
        <v>0</v>
      </c>
      <c r="E223" s="54">
        <v>0</v>
      </c>
      <c r="F223" s="54">
        <v>0</v>
      </c>
      <c r="G223" s="54">
        <v>0</v>
      </c>
      <c r="H223" s="54">
        <v>1</v>
      </c>
      <c r="I223" s="54">
        <v>0.13</v>
      </c>
      <c r="J223" s="54">
        <v>400</v>
      </c>
      <c r="K223" s="54">
        <v>400</v>
      </c>
      <c r="L223" s="54" t="str">
        <v>东方</v>
      </c>
      <c r="M223" s="80" t="str">
        <v>2025.7.15，货到现场1个月付至到货金额95%，供货完成提供5%两年银行质保函</v>
      </c>
    </row>
    <row r="224" ht="28" spans="1:13">
      <c r="A224" s="54">
        <v>0</v>
      </c>
      <c r="B224" s="54" t="str">
        <v>导杆</v>
      </c>
      <c r="C224" s="54" t="str">
        <v>32*1.2</v>
      </c>
      <c r="D224" s="54">
        <v>0</v>
      </c>
      <c r="E224" s="54">
        <v>0</v>
      </c>
      <c r="F224" s="54">
        <v>0</v>
      </c>
      <c r="G224" s="54">
        <v>0</v>
      </c>
      <c r="H224" s="54">
        <v>1</v>
      </c>
      <c r="I224" s="54">
        <v>0.13</v>
      </c>
      <c r="J224" s="54">
        <v>330</v>
      </c>
      <c r="K224" s="54">
        <v>330</v>
      </c>
      <c r="L224" s="54" t="str">
        <v>东方</v>
      </c>
      <c r="M224" s="80" t="str">
        <v>2025.7.15，货到现场1个月付至到货金额95%，供货完成提供5%两年银行质保函</v>
      </c>
    </row>
    <row r="225" ht="28" spans="1:13">
      <c r="A225" s="54">
        <v>0</v>
      </c>
      <c r="B225" s="54" t="str">
        <v>链条</v>
      </c>
      <c r="C225" s="54" t="str">
        <v>6mm</v>
      </c>
      <c r="D225" s="54">
        <v>0</v>
      </c>
      <c r="E225" s="54">
        <v>0</v>
      </c>
      <c r="F225" s="54">
        <v>0</v>
      </c>
      <c r="G225" s="54">
        <v>0</v>
      </c>
      <c r="H225" s="54">
        <v>1</v>
      </c>
      <c r="I225" s="54">
        <v>0.13</v>
      </c>
      <c r="J225" s="54">
        <v>105</v>
      </c>
      <c r="K225" s="54">
        <v>105</v>
      </c>
      <c r="L225" s="54" t="str">
        <v>东方</v>
      </c>
      <c r="M225" s="80" t="str">
        <v>2025.7.15，货到现场1个月付至到货金额95%，供货完成提供5%两年银行质保函</v>
      </c>
    </row>
    <row r="226" ht="28" spans="1:13">
      <c r="A226" s="54">
        <v>0</v>
      </c>
      <c r="B226" s="54" t="str">
        <v>浮球</v>
      </c>
      <c r="C226" s="54" t="str">
        <v>/</v>
      </c>
      <c r="D226" s="54">
        <v>0</v>
      </c>
      <c r="E226" s="54">
        <v>0</v>
      </c>
      <c r="F226" s="54">
        <v>0</v>
      </c>
      <c r="G226" s="54">
        <v>0</v>
      </c>
      <c r="H226" s="54">
        <v>1</v>
      </c>
      <c r="I226" s="54">
        <v>0.13</v>
      </c>
      <c r="J226" s="54">
        <v>70</v>
      </c>
      <c r="K226" s="54">
        <v>70</v>
      </c>
      <c r="L226" s="54" t="str">
        <v>东方</v>
      </c>
      <c r="M226" s="80" t="str">
        <v>2025.7.15，货到现场1个月付至到货金额95%，供货完成提供5%两年银行质保函</v>
      </c>
    </row>
    <row r="227" ht="28" spans="1:13">
      <c r="A227" s="54">
        <v>1</v>
      </c>
      <c r="B227" s="54" t="str">
        <v>潜水排污泵</v>
      </c>
      <c r="C227" s="54" t="str">
        <v>50WQ/E30-14-2.2</v>
      </c>
      <c r="D227" s="54">
        <v>18</v>
      </c>
      <c r="E227" s="54">
        <v>15</v>
      </c>
      <c r="F227" s="54">
        <v>2840</v>
      </c>
      <c r="G227" s="54">
        <v>2.2</v>
      </c>
      <c r="H227" s="54">
        <v>14</v>
      </c>
      <c r="I227" s="54">
        <v>0.13</v>
      </c>
      <c r="J227" s="54">
        <v>1650</v>
      </c>
      <c r="K227" s="54">
        <v>23100</v>
      </c>
      <c r="L227" s="54">
        <v>0</v>
      </c>
      <c r="M227" s="80" t="str">
        <v>2025.12.15，电缆线5米；增加一米价格加15元；泵体材质：HT200；泵轴材质：2CR13；</v>
      </c>
    </row>
    <row r="228" spans="1:13">
      <c r="A228" s="54">
        <v>0</v>
      </c>
      <c r="B228" s="54" t="str">
        <v>自耦装置</v>
      </c>
      <c r="C228" s="54" t="str">
        <v>DN:50</v>
      </c>
      <c r="D228" s="54">
        <v>0</v>
      </c>
      <c r="E228" s="54">
        <v>0</v>
      </c>
      <c r="F228" s="54">
        <v>0</v>
      </c>
      <c r="G228" s="54">
        <v>0</v>
      </c>
      <c r="H228" s="54">
        <v>14</v>
      </c>
      <c r="I228" s="54">
        <v>0.13</v>
      </c>
      <c r="J228" s="54">
        <v>300</v>
      </c>
      <c r="K228" s="54">
        <v>4200</v>
      </c>
      <c r="L228" s="54">
        <v>0</v>
      </c>
      <c r="M228" s="80" t="str">
        <v>自耦装置材质：HT200；</v>
      </c>
    </row>
    <row r="229" ht="28" spans="1:13">
      <c r="A229" s="54">
        <v>0</v>
      </c>
      <c r="B229" s="54" t="str">
        <v>304不锈钢导杆</v>
      </c>
      <c r="C229" s="54" t="str">
        <v>32*1.2</v>
      </c>
      <c r="D229" s="54">
        <v>0</v>
      </c>
      <c r="E229" s="54">
        <v>0</v>
      </c>
      <c r="F229" s="54">
        <v>0</v>
      </c>
      <c r="G229" s="54">
        <v>0</v>
      </c>
      <c r="H229" s="54">
        <v>14</v>
      </c>
      <c r="I229" s="54">
        <v>0.13</v>
      </c>
      <c r="J229" s="54">
        <v>350</v>
      </c>
      <c r="K229" s="54">
        <v>4900</v>
      </c>
      <c r="L229" s="54">
        <v>0</v>
      </c>
      <c r="M229" s="80" t="str">
        <v>导杆；单根长度2米（2根一套）；单根长度每增加一米价格加200元</v>
      </c>
    </row>
    <row r="230" spans="1:13">
      <c r="A230" s="54">
        <v>0</v>
      </c>
      <c r="B230" s="54" t="str">
        <v>304不锈钢链条</v>
      </c>
      <c r="C230" s="54" t="str">
        <v>6mm</v>
      </c>
      <c r="D230" s="54">
        <v>0</v>
      </c>
      <c r="E230" s="54">
        <v>0</v>
      </c>
      <c r="F230" s="54">
        <v>0</v>
      </c>
      <c r="G230" s="54">
        <v>0</v>
      </c>
      <c r="H230" s="54">
        <v>14</v>
      </c>
      <c r="I230" s="54">
        <v>0.13</v>
      </c>
      <c r="J230" s="54">
        <v>135</v>
      </c>
      <c r="K230" s="54">
        <v>1890</v>
      </c>
      <c r="L230" s="54">
        <v>0</v>
      </c>
      <c r="M230" s="80" t="str">
        <v>304不锈钢链条长度2.0米；长度每增加一米价格加115元</v>
      </c>
    </row>
    <row r="231" ht="56" spans="1:13">
      <c r="A231" s="54">
        <v>0</v>
      </c>
      <c r="B231" s="54" t="str">
        <v>控制柜</v>
      </c>
      <c r="C231" s="54" t="str">
        <v>KQK/T-2ACE-2.2</v>
      </c>
      <c r="D231" s="54">
        <v>0</v>
      </c>
      <c r="E231" s="54">
        <v>0</v>
      </c>
      <c r="F231" s="54">
        <v>0</v>
      </c>
      <c r="G231" s="54">
        <v>0</v>
      </c>
      <c r="H231" s="54">
        <v>7</v>
      </c>
      <c r="I231" s="54">
        <v>0.13</v>
      </c>
      <c r="J231" s="54">
        <v>1100</v>
      </c>
      <c r="K231" s="54">
        <v>7700</v>
      </c>
      <c r="L231" s="54">
        <v>0</v>
      </c>
      <c r="M231" s="80" t="str">
        <v>一控二；自动交替；超高水位双泵同时启动；带BA接口：只监不控（运行、停止、故障）/带高液位报警，通过3浮球控制（低水位：停泵，高水位启泵，超高水位发出报警信号），元器件：天正；2个断路器；</v>
      </c>
    </row>
    <row r="232" spans="1:13">
      <c r="A232" s="54">
        <v>0</v>
      </c>
      <c r="B232" s="54" t="str">
        <v>浮球</v>
      </c>
      <c r="C232" s="54" t="str">
        <v>GY-A1</v>
      </c>
      <c r="D232" s="54">
        <v>0</v>
      </c>
      <c r="E232" s="54">
        <v>0</v>
      </c>
      <c r="F232" s="54">
        <v>0</v>
      </c>
      <c r="G232" s="54">
        <v>0</v>
      </c>
      <c r="H232" s="54">
        <v>21</v>
      </c>
      <c r="I232" s="54">
        <v>0.13</v>
      </c>
      <c r="J232" s="54">
        <v>115</v>
      </c>
      <c r="K232" s="54">
        <v>2415</v>
      </c>
      <c r="L232" s="54">
        <v>0</v>
      </c>
      <c r="M232" s="80" t="str">
        <v>控制线每增加一米，价格加15元。</v>
      </c>
    </row>
    <row r="233" ht="28" spans="1:13">
      <c r="A233" s="54">
        <v>2</v>
      </c>
      <c r="B233" s="54" t="str">
        <v>潜水排污泵</v>
      </c>
      <c r="C233" s="54" t="str">
        <v>50WQ/E15-25-2.2</v>
      </c>
      <c r="D233" s="54">
        <v>18</v>
      </c>
      <c r="E233" s="54">
        <v>20</v>
      </c>
      <c r="F233" s="54">
        <v>2880</v>
      </c>
      <c r="G233" s="54">
        <v>2.2</v>
      </c>
      <c r="H233" s="54">
        <v>34</v>
      </c>
      <c r="I233" s="54">
        <v>0.13</v>
      </c>
      <c r="J233" s="54">
        <v>1650</v>
      </c>
      <c r="K233" s="54">
        <v>56100</v>
      </c>
      <c r="L233" s="54">
        <v>0</v>
      </c>
      <c r="M233" s="80" t="str">
        <v>2025.12.15，电缆线5米；增加一米价格加15元；泵体材质：HT200；泵轴材质：2CR13；</v>
      </c>
    </row>
    <row r="234" spans="1:13">
      <c r="A234" s="54">
        <v>0</v>
      </c>
      <c r="B234" s="54" t="str">
        <v>自耦装置</v>
      </c>
      <c r="C234" s="54" t="str">
        <v>DN:50</v>
      </c>
      <c r="D234" s="54">
        <v>0</v>
      </c>
      <c r="E234" s="54">
        <v>0</v>
      </c>
      <c r="F234" s="54">
        <v>0</v>
      </c>
      <c r="G234" s="54">
        <v>0</v>
      </c>
      <c r="H234" s="54">
        <v>34</v>
      </c>
      <c r="I234" s="54">
        <v>0.13</v>
      </c>
      <c r="J234" s="54">
        <v>300</v>
      </c>
      <c r="K234" s="54">
        <v>10200</v>
      </c>
      <c r="L234" s="54">
        <v>0</v>
      </c>
      <c r="M234" s="80" t="str">
        <v>自耦装置材质：HT200；</v>
      </c>
    </row>
    <row r="235" ht="28" spans="1:13">
      <c r="A235" s="54">
        <v>0</v>
      </c>
      <c r="B235" s="54" t="str">
        <v>304不锈钢导杆</v>
      </c>
      <c r="C235" s="54" t="str">
        <v>32*1.2</v>
      </c>
      <c r="D235" s="54">
        <v>0</v>
      </c>
      <c r="E235" s="54">
        <v>0</v>
      </c>
      <c r="F235" s="54">
        <v>0</v>
      </c>
      <c r="G235" s="54">
        <v>0</v>
      </c>
      <c r="H235" s="54">
        <v>34</v>
      </c>
      <c r="I235" s="54">
        <v>0.13</v>
      </c>
      <c r="J235" s="54">
        <v>350</v>
      </c>
      <c r="K235" s="54">
        <v>11900</v>
      </c>
      <c r="L235" s="54">
        <v>0</v>
      </c>
      <c r="M235" s="80" t="str">
        <v>导杆；单根长度2米（2根一套）；单根长度每增加一米价格加200元</v>
      </c>
    </row>
    <row r="236" spans="1:13">
      <c r="A236" s="54">
        <v>0</v>
      </c>
      <c r="B236" s="54" t="str">
        <v>304不锈钢链条</v>
      </c>
      <c r="C236" s="54" t="str">
        <v>6mm</v>
      </c>
      <c r="D236" s="54">
        <v>0</v>
      </c>
      <c r="E236" s="54">
        <v>0</v>
      </c>
      <c r="F236" s="54">
        <v>0</v>
      </c>
      <c r="G236" s="54">
        <v>0</v>
      </c>
      <c r="H236" s="54">
        <v>34</v>
      </c>
      <c r="I236" s="54">
        <v>0.13</v>
      </c>
      <c r="J236" s="54">
        <v>135</v>
      </c>
      <c r="K236" s="54">
        <v>4590</v>
      </c>
      <c r="L236" s="54">
        <v>0</v>
      </c>
      <c r="M236" s="80" t="str">
        <v>304不锈钢链条长度2.0米；长度每增加一米价格加115元</v>
      </c>
    </row>
    <row r="237" ht="56" spans="1:13">
      <c r="A237" s="54">
        <v>0</v>
      </c>
      <c r="B237" s="54" t="str">
        <v>控制柜</v>
      </c>
      <c r="C237" s="54" t="str">
        <v>KQK/T-2ACE-2.2</v>
      </c>
      <c r="D237" s="54">
        <v>0</v>
      </c>
      <c r="E237" s="54">
        <v>0</v>
      </c>
      <c r="F237" s="54">
        <v>0</v>
      </c>
      <c r="G237" s="54">
        <v>0</v>
      </c>
      <c r="H237" s="54">
        <v>17</v>
      </c>
      <c r="I237" s="54">
        <v>0.13</v>
      </c>
      <c r="J237" s="54">
        <v>1100</v>
      </c>
      <c r="K237" s="54">
        <v>18700</v>
      </c>
      <c r="L237" s="54">
        <v>0</v>
      </c>
      <c r="M237" s="80" t="str">
        <v>一控二；自动交替；超高水位双泵同时启动；带BA接口：只监不控（运行、停止、故障）/带高液位报警，通过3浮球控制（低水位：停泵，高水位启泵，超高水位发出报警信号），元器件：天正；2个断路器；</v>
      </c>
    </row>
    <row r="238" spans="1:13">
      <c r="A238" s="54">
        <v>0</v>
      </c>
      <c r="B238" s="54" t="str">
        <v>浮球</v>
      </c>
      <c r="C238" s="54" t="str">
        <v>GY-A1</v>
      </c>
      <c r="D238" s="54">
        <v>0</v>
      </c>
      <c r="E238" s="54">
        <v>0</v>
      </c>
      <c r="F238" s="54">
        <v>0</v>
      </c>
      <c r="G238" s="54">
        <v>0</v>
      </c>
      <c r="H238" s="54">
        <v>51</v>
      </c>
      <c r="I238" s="54">
        <v>0.13</v>
      </c>
      <c r="J238" s="54">
        <v>115</v>
      </c>
      <c r="K238" s="54">
        <v>5865</v>
      </c>
      <c r="L238" s="54">
        <v>0</v>
      </c>
      <c r="M238" s="80" t="str">
        <v>控制线每增加一米，价格加15元。</v>
      </c>
    </row>
    <row r="239" ht="28" spans="1:13">
      <c r="A239" s="54">
        <v>3</v>
      </c>
      <c r="B239" s="54" t="str">
        <v>潜水排污泵</v>
      </c>
      <c r="C239" s="54" t="str">
        <v>50WQ/E15-30-3</v>
      </c>
      <c r="D239" s="54">
        <v>18</v>
      </c>
      <c r="E239" s="54">
        <v>25</v>
      </c>
      <c r="F239" s="54">
        <v>2880</v>
      </c>
      <c r="G239" s="54">
        <v>3</v>
      </c>
      <c r="H239" s="54">
        <v>50</v>
      </c>
      <c r="I239" s="54">
        <v>0.13</v>
      </c>
      <c r="J239" s="54">
        <v>2070</v>
      </c>
      <c r="K239" s="54">
        <v>103500</v>
      </c>
      <c r="L239" s="54">
        <v>0</v>
      </c>
      <c r="M239" s="80" t="str">
        <v>2025.12.15，电缆线5米；增加一米价格加15元；泵体材质：HT200；泵轴材质：2CR13；</v>
      </c>
    </row>
    <row r="240" spans="1:13">
      <c r="A240" s="54">
        <v>0</v>
      </c>
      <c r="B240" s="54" t="str">
        <v>自耦装置</v>
      </c>
      <c r="C240" s="54" t="str">
        <v>DN:50</v>
      </c>
      <c r="D240" s="54">
        <v>0</v>
      </c>
      <c r="E240" s="54">
        <v>0</v>
      </c>
      <c r="F240" s="54">
        <v>0</v>
      </c>
      <c r="G240" s="54">
        <v>0</v>
      </c>
      <c r="H240" s="54">
        <v>50</v>
      </c>
      <c r="I240" s="54">
        <v>0.13</v>
      </c>
      <c r="J240" s="54">
        <v>300</v>
      </c>
      <c r="K240" s="54">
        <v>15000</v>
      </c>
      <c r="L240" s="54">
        <v>0</v>
      </c>
      <c r="M240" s="80" t="str">
        <v>自耦装置材质：HT200；</v>
      </c>
    </row>
    <row r="241" ht="28" spans="1:13">
      <c r="A241" s="54">
        <v>0</v>
      </c>
      <c r="B241" s="54" t="str">
        <v>304不锈钢导杆</v>
      </c>
      <c r="C241" s="54" t="str">
        <v>32*1.2</v>
      </c>
      <c r="D241" s="54">
        <v>0</v>
      </c>
      <c r="E241" s="54">
        <v>0</v>
      </c>
      <c r="F241" s="54">
        <v>0</v>
      </c>
      <c r="G241" s="54">
        <v>0</v>
      </c>
      <c r="H241" s="54">
        <v>50</v>
      </c>
      <c r="I241" s="54">
        <v>0.13</v>
      </c>
      <c r="J241" s="54">
        <v>350</v>
      </c>
      <c r="K241" s="54">
        <v>17500</v>
      </c>
      <c r="L241" s="54">
        <v>0</v>
      </c>
      <c r="M241" s="80" t="str">
        <v>导杆；单根长度2米（2根一套）；单根长度每增加一米价格加200元</v>
      </c>
    </row>
    <row r="242" spans="1:13">
      <c r="A242" s="54">
        <v>0</v>
      </c>
      <c r="B242" s="54" t="str">
        <v>304不锈钢链条</v>
      </c>
      <c r="C242" s="54" t="str">
        <v>6mm</v>
      </c>
      <c r="D242" s="54">
        <v>0</v>
      </c>
      <c r="E242" s="54">
        <v>0</v>
      </c>
      <c r="F242" s="54">
        <v>0</v>
      </c>
      <c r="G242" s="54">
        <v>0</v>
      </c>
      <c r="H242" s="54">
        <v>50</v>
      </c>
      <c r="I242" s="54">
        <v>0.13</v>
      </c>
      <c r="J242" s="54">
        <v>135</v>
      </c>
      <c r="K242" s="54">
        <v>6750</v>
      </c>
      <c r="L242" s="54">
        <v>0</v>
      </c>
      <c r="M242" s="80" t="str">
        <v>304不锈钢链条长度2.0米；长度每增加一米价格加115元</v>
      </c>
    </row>
    <row r="243" ht="56" spans="1:13">
      <c r="A243" s="54">
        <v>0</v>
      </c>
      <c r="B243" s="54" t="str">
        <v>控制柜</v>
      </c>
      <c r="C243" s="54" t="str">
        <v>KQK/T-2ACE-3</v>
      </c>
      <c r="D243" s="54">
        <v>0</v>
      </c>
      <c r="E243" s="54">
        <v>0</v>
      </c>
      <c r="F243" s="54">
        <v>0</v>
      </c>
      <c r="G243" s="54">
        <v>0</v>
      </c>
      <c r="H243" s="54">
        <v>25</v>
      </c>
      <c r="I243" s="54">
        <v>0.13</v>
      </c>
      <c r="J243" s="54">
        <v>1100</v>
      </c>
      <c r="K243" s="54">
        <v>27500</v>
      </c>
      <c r="L243" s="54">
        <v>0</v>
      </c>
      <c r="M243" s="80" t="str">
        <v>一控二；自动交替；超高水位双泵同时启动；带BA接口：只监不控（运行、停止、故障）/带高液位报警，通过3浮球控制（低水位：停泵，高水位启泵，超高水位发出报警信号），元器件：天正；2个断路器；</v>
      </c>
    </row>
    <row r="244" spans="1:13">
      <c r="A244" s="54">
        <v>0</v>
      </c>
      <c r="B244" s="54" t="str">
        <v>浮球</v>
      </c>
      <c r="C244" s="54" t="str">
        <v>GY-A1</v>
      </c>
      <c r="D244" s="54">
        <v>0</v>
      </c>
      <c r="E244" s="54">
        <v>0</v>
      </c>
      <c r="F244" s="54">
        <v>0</v>
      </c>
      <c r="G244" s="54">
        <v>0</v>
      </c>
      <c r="H244" s="54">
        <v>75</v>
      </c>
      <c r="I244" s="54">
        <v>0.13</v>
      </c>
      <c r="J244" s="54">
        <v>115</v>
      </c>
      <c r="K244" s="54">
        <v>8625</v>
      </c>
      <c r="L244" s="54">
        <v>0</v>
      </c>
      <c r="M244" s="80" t="str">
        <v>控制线每增加一米，价格加15元。</v>
      </c>
    </row>
    <row r="245" ht="28" spans="1:13">
      <c r="A245" s="54">
        <v>4</v>
      </c>
      <c r="B245" s="54" t="str">
        <v>潜水排污泵</v>
      </c>
      <c r="C245" s="54" t="str">
        <v>50WQ/E15-30-3</v>
      </c>
      <c r="D245" s="54">
        <v>18</v>
      </c>
      <c r="E245" s="54">
        <v>28</v>
      </c>
      <c r="F245" s="54">
        <v>2880</v>
      </c>
      <c r="G245" s="54">
        <v>3</v>
      </c>
      <c r="H245" s="54">
        <v>4</v>
      </c>
      <c r="I245" s="54">
        <v>0.13</v>
      </c>
      <c r="J245" s="54">
        <v>2070</v>
      </c>
      <c r="K245" s="54">
        <v>8280</v>
      </c>
      <c r="L245" s="54">
        <v>0</v>
      </c>
      <c r="M245" s="80" t="str">
        <v>2025.12.15，电缆线5米；增加一米价格加15元；泵体材质：HT200；泵轴材质：2CR13；</v>
      </c>
    </row>
    <row r="246" spans="1:13">
      <c r="A246" s="54">
        <v>0</v>
      </c>
      <c r="B246" s="54" t="str">
        <v>自耦装置</v>
      </c>
      <c r="C246" s="54" t="str">
        <v>DN:50</v>
      </c>
      <c r="D246" s="54">
        <v>0</v>
      </c>
      <c r="E246" s="54">
        <v>0</v>
      </c>
      <c r="F246" s="54">
        <v>0</v>
      </c>
      <c r="G246" s="54">
        <v>0</v>
      </c>
      <c r="H246" s="54">
        <v>4</v>
      </c>
      <c r="I246" s="54">
        <v>0.13</v>
      </c>
      <c r="J246" s="54">
        <v>300</v>
      </c>
      <c r="K246" s="54">
        <v>1200</v>
      </c>
      <c r="L246" s="54">
        <v>0</v>
      </c>
      <c r="M246" s="80" t="str">
        <v>自耦装置材质：HT200；</v>
      </c>
    </row>
    <row r="247" ht="28" spans="1:13">
      <c r="A247" s="54">
        <v>0</v>
      </c>
      <c r="B247" s="54" t="str">
        <v>304不锈钢导杆</v>
      </c>
      <c r="C247" s="54" t="str">
        <v>32*1.2</v>
      </c>
      <c r="D247" s="54">
        <v>0</v>
      </c>
      <c r="E247" s="54">
        <v>0</v>
      </c>
      <c r="F247" s="54">
        <v>0</v>
      </c>
      <c r="G247" s="54">
        <v>0</v>
      </c>
      <c r="H247" s="54">
        <v>4</v>
      </c>
      <c r="I247" s="54">
        <v>0.13</v>
      </c>
      <c r="J247" s="54">
        <v>350</v>
      </c>
      <c r="K247" s="54">
        <v>1400</v>
      </c>
      <c r="L247" s="54">
        <v>0</v>
      </c>
      <c r="M247" s="80" t="str">
        <v>导杆；单根长度2米（2根一套）；单根长度每增加一米价格加200元</v>
      </c>
    </row>
    <row r="248" spans="1:13">
      <c r="A248" s="54">
        <v>0</v>
      </c>
      <c r="B248" s="54" t="str">
        <v>304不锈钢链条</v>
      </c>
      <c r="C248" s="54" t="str">
        <v>6mm</v>
      </c>
      <c r="D248" s="54">
        <v>0</v>
      </c>
      <c r="E248" s="54">
        <v>0</v>
      </c>
      <c r="F248" s="54">
        <v>0</v>
      </c>
      <c r="G248" s="54">
        <v>0</v>
      </c>
      <c r="H248" s="54">
        <v>4</v>
      </c>
      <c r="I248" s="54">
        <v>0.13</v>
      </c>
      <c r="J248" s="54">
        <v>135</v>
      </c>
      <c r="K248" s="54">
        <v>540</v>
      </c>
      <c r="L248" s="54">
        <v>0</v>
      </c>
      <c r="M248" s="80" t="str">
        <v>304不锈钢链条长度2.0米；长度每增加一米价格加115元</v>
      </c>
    </row>
    <row r="249" ht="56" spans="1:13">
      <c r="A249" s="54">
        <v>0</v>
      </c>
      <c r="B249" s="54" t="str">
        <v>控制柜</v>
      </c>
      <c r="C249" s="54" t="str">
        <v>KQK/T-2ACE-3</v>
      </c>
      <c r="D249" s="54">
        <v>0</v>
      </c>
      <c r="E249" s="54">
        <v>0</v>
      </c>
      <c r="F249" s="54">
        <v>0</v>
      </c>
      <c r="G249" s="54">
        <v>0</v>
      </c>
      <c r="H249" s="54">
        <v>2</v>
      </c>
      <c r="I249" s="54">
        <v>0.13</v>
      </c>
      <c r="J249" s="54">
        <v>1100</v>
      </c>
      <c r="K249" s="54">
        <v>2200</v>
      </c>
      <c r="L249" s="54">
        <v>0</v>
      </c>
      <c r="M249" s="80" t="str">
        <v>一控二；自动交替；超高水位双泵同时启动；带BA接口：只监不控（运行、停止、故障）/带高液位报警，通过3浮球控制（低水位：停泵，高水位启泵，超高水位发出报警信号），元器件：天正；2个断路器；</v>
      </c>
    </row>
    <row r="250" spans="1:13">
      <c r="A250" s="54">
        <v>0</v>
      </c>
      <c r="B250" s="54" t="str">
        <v>浮球</v>
      </c>
      <c r="C250" s="54" t="str">
        <v>GY-A1</v>
      </c>
      <c r="D250" s="54">
        <v>0</v>
      </c>
      <c r="E250" s="54">
        <v>0</v>
      </c>
      <c r="F250" s="54">
        <v>0</v>
      </c>
      <c r="G250" s="54">
        <v>0</v>
      </c>
      <c r="H250" s="54">
        <v>6</v>
      </c>
      <c r="I250" s="54">
        <v>0.13</v>
      </c>
      <c r="J250" s="54">
        <v>115</v>
      </c>
      <c r="K250" s="54">
        <v>690</v>
      </c>
      <c r="L250" s="54">
        <v>0</v>
      </c>
      <c r="M250" s="80" t="str">
        <v>控制线每增加一米，价格加15元。</v>
      </c>
    </row>
    <row r="251" ht="28" spans="1:13">
      <c r="A251" s="54">
        <v>5</v>
      </c>
      <c r="B251" s="54" t="str">
        <v>潜水排污泵</v>
      </c>
      <c r="C251" s="54" t="str">
        <v>50WQ/E15-30-3</v>
      </c>
      <c r="D251" s="54">
        <v>18</v>
      </c>
      <c r="E251" s="54">
        <v>28</v>
      </c>
      <c r="F251" s="54">
        <v>2880</v>
      </c>
      <c r="G251" s="54">
        <v>3</v>
      </c>
      <c r="H251" s="54">
        <v>2</v>
      </c>
      <c r="I251" s="54">
        <v>0.13</v>
      </c>
      <c r="J251" s="54">
        <v>2070</v>
      </c>
      <c r="K251" s="54">
        <v>4140</v>
      </c>
      <c r="L251" s="54">
        <v>0</v>
      </c>
      <c r="M251" s="80" t="str">
        <v>2025.12.15，电缆线5米；增加一米价格加15元；泵体材质：HT200；泵轴材质：2CR13；</v>
      </c>
    </row>
    <row r="252" spans="1:13">
      <c r="A252" s="54">
        <v>0</v>
      </c>
      <c r="B252" s="54" t="str">
        <v>自耦装置</v>
      </c>
      <c r="C252" s="54" t="str">
        <v>DN:50</v>
      </c>
      <c r="D252" s="54">
        <v>0</v>
      </c>
      <c r="E252" s="54">
        <v>0</v>
      </c>
      <c r="F252" s="54">
        <v>0</v>
      </c>
      <c r="G252" s="54">
        <v>0</v>
      </c>
      <c r="H252" s="54">
        <v>2</v>
      </c>
      <c r="I252" s="54">
        <v>0.13</v>
      </c>
      <c r="J252" s="54">
        <v>300</v>
      </c>
      <c r="K252" s="54">
        <v>600</v>
      </c>
      <c r="L252" s="54">
        <v>0</v>
      </c>
      <c r="M252" s="80" t="str">
        <v>自耦装置材质：HT200；</v>
      </c>
    </row>
    <row r="253" ht="28" spans="1:13">
      <c r="A253" s="54">
        <v>0</v>
      </c>
      <c r="B253" s="54" t="str">
        <v>304不锈钢导杆</v>
      </c>
      <c r="C253" s="54" t="str">
        <v>32*1.2</v>
      </c>
      <c r="D253" s="54">
        <v>0</v>
      </c>
      <c r="E253" s="54">
        <v>0</v>
      </c>
      <c r="F253" s="54">
        <v>0</v>
      </c>
      <c r="G253" s="54">
        <v>0</v>
      </c>
      <c r="H253" s="54">
        <v>2</v>
      </c>
      <c r="I253" s="54">
        <v>0.13</v>
      </c>
      <c r="J253" s="54">
        <v>350</v>
      </c>
      <c r="K253" s="54">
        <v>700</v>
      </c>
      <c r="L253" s="54">
        <v>0</v>
      </c>
      <c r="M253" s="80" t="str">
        <v>导杆；单根长度2米（2根一套）；单根长度每增加一米价格加200元</v>
      </c>
    </row>
    <row r="254" spans="1:13">
      <c r="A254" s="54">
        <v>0</v>
      </c>
      <c r="B254" s="54" t="str">
        <v>304不锈钢链条</v>
      </c>
      <c r="C254" s="54" t="str">
        <v>6mm</v>
      </c>
      <c r="D254" s="54">
        <v>0</v>
      </c>
      <c r="E254" s="54">
        <v>0</v>
      </c>
      <c r="F254" s="54">
        <v>0</v>
      </c>
      <c r="G254" s="54">
        <v>0</v>
      </c>
      <c r="H254" s="54">
        <v>2</v>
      </c>
      <c r="I254" s="54">
        <v>0.13</v>
      </c>
      <c r="J254" s="54">
        <v>135</v>
      </c>
      <c r="K254" s="54">
        <v>270</v>
      </c>
      <c r="L254" s="54">
        <v>0</v>
      </c>
      <c r="M254" s="80" t="str">
        <v>304不锈钢链条长度2.0米；长度每增加一米价格加115元</v>
      </c>
    </row>
    <row r="255" ht="56" spans="1:13">
      <c r="A255" s="54">
        <v>0</v>
      </c>
      <c r="B255" s="54" t="str">
        <v>控制柜</v>
      </c>
      <c r="C255" s="54" t="str">
        <v>KQK/T-2ACE-3</v>
      </c>
      <c r="D255" s="54">
        <v>0</v>
      </c>
      <c r="E255" s="54">
        <v>0</v>
      </c>
      <c r="F255" s="54">
        <v>0</v>
      </c>
      <c r="G255" s="54">
        <v>0</v>
      </c>
      <c r="H255" s="54">
        <v>1</v>
      </c>
      <c r="I255" s="54">
        <v>0.13</v>
      </c>
      <c r="J255" s="54">
        <v>1100</v>
      </c>
      <c r="K255" s="54">
        <v>1100</v>
      </c>
      <c r="L255" s="54">
        <v>0</v>
      </c>
      <c r="M255" s="80" t="str">
        <v>一控二；自动交替；超高水位双泵同时启动；带BA接口：只监不控（运行、停止、故障）/带高液位报警，通过3浮球控制（低水位：停泵，高水位启泵，超高水位发出报警信号），元器件：天正；2个断路器；</v>
      </c>
    </row>
    <row r="256" spans="1:13">
      <c r="A256" s="54">
        <v>0</v>
      </c>
      <c r="B256" s="54" t="str">
        <v>浮球</v>
      </c>
      <c r="C256" s="54" t="str">
        <v>GY-A1</v>
      </c>
      <c r="D256" s="54">
        <v>0</v>
      </c>
      <c r="E256" s="54">
        <v>0</v>
      </c>
      <c r="F256" s="54">
        <v>0</v>
      </c>
      <c r="G256" s="54">
        <v>0</v>
      </c>
      <c r="H256" s="54">
        <v>3</v>
      </c>
      <c r="I256" s="54">
        <v>0.13</v>
      </c>
      <c r="J256" s="54">
        <v>115</v>
      </c>
      <c r="K256" s="54">
        <v>345</v>
      </c>
      <c r="L256" s="54">
        <v>0</v>
      </c>
      <c r="M256" s="80" t="str">
        <v>控制线每增加一米，价格加15元。</v>
      </c>
    </row>
    <row r="257" ht="28" spans="1:13">
      <c r="A257" s="54">
        <v>6</v>
      </c>
      <c r="B257" s="54" t="str">
        <v>潜水排污泵</v>
      </c>
      <c r="C257" s="54" t="str">
        <v>65WQ/E30-18.5-3</v>
      </c>
      <c r="D257" s="54">
        <v>36</v>
      </c>
      <c r="E257" s="54">
        <v>15</v>
      </c>
      <c r="F257" s="54">
        <v>2880</v>
      </c>
      <c r="G257" s="54">
        <v>3</v>
      </c>
      <c r="H257" s="54">
        <v>5</v>
      </c>
      <c r="I257" s="54">
        <v>0.13</v>
      </c>
      <c r="J257" s="54">
        <v>2000</v>
      </c>
      <c r="K257" s="54">
        <v>10000</v>
      </c>
      <c r="L257" s="54">
        <v>0</v>
      </c>
      <c r="M257" s="80" t="str">
        <v>2025.12.15，电缆线5米；增加一米价格加15元；泵体材质：HT200；泵轴材质：2CR13；</v>
      </c>
    </row>
    <row r="258" spans="1:13">
      <c r="A258" s="54">
        <v>0</v>
      </c>
      <c r="B258" s="54" t="str">
        <v>自耦装置</v>
      </c>
      <c r="C258" s="54" t="str">
        <v>DN:65</v>
      </c>
      <c r="D258" s="54">
        <v>0</v>
      </c>
      <c r="E258" s="54">
        <v>0</v>
      </c>
      <c r="F258" s="54">
        <v>0</v>
      </c>
      <c r="G258" s="54">
        <v>0</v>
      </c>
      <c r="H258" s="54">
        <v>5</v>
      </c>
      <c r="I258" s="54">
        <v>0.13</v>
      </c>
      <c r="J258" s="54">
        <v>420</v>
      </c>
      <c r="K258" s="54">
        <v>2100</v>
      </c>
      <c r="L258" s="54">
        <v>0</v>
      </c>
      <c r="M258" s="80" t="str">
        <v>自耦装置材质：HT200；</v>
      </c>
    </row>
    <row r="259" ht="28" spans="1:13">
      <c r="A259" s="54">
        <v>0</v>
      </c>
      <c r="B259" s="54" t="str">
        <v>304不锈钢导杆</v>
      </c>
      <c r="C259" s="54" t="str">
        <v>32*1.2</v>
      </c>
      <c r="D259" s="54">
        <v>0</v>
      </c>
      <c r="E259" s="54">
        <v>0</v>
      </c>
      <c r="F259" s="54">
        <v>0</v>
      </c>
      <c r="G259" s="54">
        <v>0</v>
      </c>
      <c r="H259" s="54">
        <v>5</v>
      </c>
      <c r="I259" s="54">
        <v>0.13</v>
      </c>
      <c r="J259" s="54">
        <v>350</v>
      </c>
      <c r="K259" s="54">
        <v>1750</v>
      </c>
      <c r="L259" s="54">
        <v>0</v>
      </c>
      <c r="M259" s="80" t="str">
        <v>导杆；单根长度2米（2根一套）；单根长度每增加一米价格加200元</v>
      </c>
    </row>
    <row r="260" spans="1:13">
      <c r="A260" s="54">
        <v>0</v>
      </c>
      <c r="B260" s="54" t="str">
        <v>304不锈钢链条</v>
      </c>
      <c r="C260" s="54" t="str">
        <v>6mm</v>
      </c>
      <c r="D260" s="54">
        <v>0</v>
      </c>
      <c r="E260" s="54">
        <v>0</v>
      </c>
      <c r="F260" s="54">
        <v>0</v>
      </c>
      <c r="G260" s="54">
        <v>0</v>
      </c>
      <c r="H260" s="54">
        <v>5</v>
      </c>
      <c r="I260" s="54">
        <v>0.13</v>
      </c>
      <c r="J260" s="54">
        <v>135</v>
      </c>
      <c r="K260" s="54">
        <v>675</v>
      </c>
      <c r="L260" s="54">
        <v>0</v>
      </c>
      <c r="M260" s="80" t="str">
        <v>304不锈钢链条长度2.0米；长度每增加一米价格加115元</v>
      </c>
    </row>
    <row r="261" ht="56" spans="1:13">
      <c r="A261" s="54">
        <v>0</v>
      </c>
      <c r="B261" s="54" t="str">
        <v>控制柜</v>
      </c>
      <c r="C261" s="54" t="str">
        <v>KQK/T-2ACE-3</v>
      </c>
      <c r="D261" s="54">
        <v>0</v>
      </c>
      <c r="E261" s="54">
        <v>0</v>
      </c>
      <c r="F261" s="54">
        <v>0</v>
      </c>
      <c r="G261" s="54">
        <v>0</v>
      </c>
      <c r="H261" s="54">
        <v>1</v>
      </c>
      <c r="I261" s="54">
        <v>0.13</v>
      </c>
      <c r="J261" s="54">
        <v>1100</v>
      </c>
      <c r="K261" s="54">
        <v>1100</v>
      </c>
      <c r="L261" s="54">
        <v>0</v>
      </c>
      <c r="M261" s="80" t="str">
        <v>一控二；自动交替；超高水位双泵同时启动；带BA接口：只监不控（运行、停止、故障）/带高液位报警，通过3浮球控制（低水位：停泵，高水位启泵，超高水位发出报警信号），元器件：天正；2个断路器；</v>
      </c>
    </row>
    <row r="262" ht="70" spans="1:13">
      <c r="A262" s="54">
        <v>0</v>
      </c>
      <c r="B262" s="54" t="str">
        <v>控制柜</v>
      </c>
      <c r="C262" s="54" t="str">
        <v>KQK/T-3ACE-3</v>
      </c>
      <c r="D262" s="54">
        <v>0</v>
      </c>
      <c r="E262" s="54">
        <v>0</v>
      </c>
      <c r="F262" s="54">
        <v>0</v>
      </c>
      <c r="G262" s="54">
        <v>0</v>
      </c>
      <c r="H262" s="54">
        <v>1</v>
      </c>
      <c r="I262" s="54">
        <v>0.13</v>
      </c>
      <c r="J262" s="54">
        <v>1650</v>
      </c>
      <c r="K262" s="54">
        <v>1650</v>
      </c>
      <c r="L262" s="54">
        <v>0</v>
      </c>
      <c r="M262" s="80" t="str">
        <v>一控三；自动交替；超高水位双泵同时启动；带BA接口：只监不控（运行、停止、故障）/带高液位报警，通过5浮球控制（低水位：停泵，1水位启1台泵，2水位启2台泵，3水位启三台泵，超高水位发出报警信号），元器件：天正；3个断路器；</v>
      </c>
    </row>
    <row r="263" spans="1:13">
      <c r="A263" s="54">
        <v>0</v>
      </c>
      <c r="B263" s="54" t="str">
        <v>浮球</v>
      </c>
      <c r="C263" s="54" t="str">
        <v>GY-A1</v>
      </c>
      <c r="D263" s="54">
        <v>0</v>
      </c>
      <c r="E263" s="54">
        <v>0</v>
      </c>
      <c r="F263" s="54">
        <v>0</v>
      </c>
      <c r="G263" s="54">
        <v>0</v>
      </c>
      <c r="H263" s="54">
        <v>8</v>
      </c>
      <c r="I263" s="54">
        <v>0.13</v>
      </c>
      <c r="J263" s="54">
        <v>115</v>
      </c>
      <c r="K263" s="54">
        <v>920</v>
      </c>
      <c r="L263" s="54">
        <v>0</v>
      </c>
      <c r="M263" s="80" t="str">
        <v>控制线每增加一米，价格加15元。</v>
      </c>
    </row>
    <row r="264" ht="42" spans="1:13">
      <c r="A264" s="54">
        <v>7</v>
      </c>
      <c r="B264" s="54" t="str">
        <v>潜水排污泵</v>
      </c>
      <c r="C264" s="54" t="str">
        <v>65WQ/EC40-22-4</v>
      </c>
      <c r="D264" s="54">
        <v>36</v>
      </c>
      <c r="E264" s="54">
        <v>23</v>
      </c>
      <c r="F264" s="54">
        <v>2890</v>
      </c>
      <c r="G264" s="54">
        <v>4</v>
      </c>
      <c r="H264" s="54">
        <v>12</v>
      </c>
      <c r="I264" s="54">
        <v>0.13</v>
      </c>
      <c r="J264" s="54">
        <v>2500</v>
      </c>
      <c r="K264" s="54">
        <v>30000</v>
      </c>
      <c r="L264" s="54">
        <v>0</v>
      </c>
      <c r="M264" s="80" t="str">
        <v>2025.12.15，电缆线5米；增加一米价格加30元；泵体材质：HT200；泵轴材质：2CR13；电机带过热保护及油室漏水电机漏水保护</v>
      </c>
    </row>
    <row r="265" spans="1:13">
      <c r="A265" s="54">
        <v>0</v>
      </c>
      <c r="B265" s="54" t="str">
        <v>自耦装置</v>
      </c>
      <c r="C265" s="54" t="str">
        <v>DN:65</v>
      </c>
      <c r="D265" s="54">
        <v>0</v>
      </c>
      <c r="E265" s="54">
        <v>0</v>
      </c>
      <c r="F265" s="54">
        <v>0</v>
      </c>
      <c r="G265" s="54">
        <v>0</v>
      </c>
      <c r="H265" s="54">
        <v>12</v>
      </c>
      <c r="I265" s="54">
        <v>0.13</v>
      </c>
      <c r="J265" s="54">
        <v>420</v>
      </c>
      <c r="K265" s="54">
        <v>5040</v>
      </c>
      <c r="L265" s="54">
        <v>0</v>
      </c>
      <c r="M265" s="80" t="str">
        <v>自耦装置材质：HT200；</v>
      </c>
    </row>
    <row r="266" ht="28" spans="1:13">
      <c r="A266" s="54">
        <v>0</v>
      </c>
      <c r="B266" s="54" t="str">
        <v>304不锈钢导杆</v>
      </c>
      <c r="C266" s="54" t="str">
        <v>32*1.2</v>
      </c>
      <c r="D266" s="54">
        <v>0</v>
      </c>
      <c r="E266" s="54">
        <v>0</v>
      </c>
      <c r="F266" s="54">
        <v>0</v>
      </c>
      <c r="G266" s="54">
        <v>0</v>
      </c>
      <c r="H266" s="54">
        <v>12</v>
      </c>
      <c r="I266" s="54">
        <v>0.13</v>
      </c>
      <c r="J266" s="54">
        <v>350</v>
      </c>
      <c r="K266" s="54">
        <v>4200</v>
      </c>
      <c r="L266" s="54">
        <v>0</v>
      </c>
      <c r="M266" s="80" t="str">
        <v>导杆；单根长度2米（2根一套）；单根长度每增加一米价格加200元</v>
      </c>
    </row>
    <row r="267" spans="1:13">
      <c r="A267" s="54">
        <v>0</v>
      </c>
      <c r="B267" s="54" t="str">
        <v>304不锈钢链条</v>
      </c>
      <c r="C267" s="54" t="str">
        <v>6mm</v>
      </c>
      <c r="D267" s="54">
        <v>0</v>
      </c>
      <c r="E267" s="54">
        <v>0</v>
      </c>
      <c r="F267" s="54">
        <v>0</v>
      </c>
      <c r="G267" s="54">
        <v>0</v>
      </c>
      <c r="H267" s="54">
        <v>12</v>
      </c>
      <c r="I267" s="54">
        <v>0.13</v>
      </c>
      <c r="J267" s="54">
        <v>135</v>
      </c>
      <c r="K267" s="54">
        <v>1620</v>
      </c>
      <c r="L267" s="54">
        <v>0</v>
      </c>
      <c r="M267" s="80" t="str">
        <v>304不锈钢链条长度2.0米；长度每增加一米价格加115元</v>
      </c>
    </row>
    <row r="268" ht="70" spans="1:13">
      <c r="A268" s="54">
        <v>0</v>
      </c>
      <c r="B268" s="54" t="str">
        <v>控制柜</v>
      </c>
      <c r="C268" s="54" t="str">
        <v>KQK/T-2ACB-4</v>
      </c>
      <c r="D268" s="54">
        <v>0</v>
      </c>
      <c r="E268" s="54">
        <v>0</v>
      </c>
      <c r="F268" s="54">
        <v>0</v>
      </c>
      <c r="G268" s="54">
        <v>0</v>
      </c>
      <c r="H268" s="54">
        <v>6</v>
      </c>
      <c r="I268" s="54">
        <v>0.13</v>
      </c>
      <c r="J268" s="54">
        <v>1650</v>
      </c>
      <c r="K268" s="54">
        <v>9900</v>
      </c>
      <c r="L268" s="54">
        <v>0</v>
      </c>
      <c r="M268" s="80" t="str">
        <v>一控二；自动交替；超高水位双泵同时启动；带BA接口：只监不控（运行、停止、故障）/带高液位报警，通过3浮球控制（低水位：停泵，高水位启泵，超高水位发出报警信号），带油室进水、电机腔进水、绕组过热等保护功能，元器件：天正；2个断路器；</v>
      </c>
    </row>
    <row r="269" spans="1:13">
      <c r="A269" s="54">
        <v>0</v>
      </c>
      <c r="B269" s="54" t="str">
        <v>浮球</v>
      </c>
      <c r="C269" s="54" t="str">
        <v>GY-A1</v>
      </c>
      <c r="D269" s="54">
        <v>0</v>
      </c>
      <c r="E269" s="54">
        <v>0</v>
      </c>
      <c r="F269" s="54">
        <v>0</v>
      </c>
      <c r="G269" s="54">
        <v>0</v>
      </c>
      <c r="H269" s="54">
        <v>18</v>
      </c>
      <c r="I269" s="54">
        <v>0.13</v>
      </c>
      <c r="J269" s="54">
        <v>115</v>
      </c>
      <c r="K269" s="54">
        <v>2070</v>
      </c>
      <c r="L269" s="54">
        <v>0</v>
      </c>
      <c r="M269" s="80" t="str">
        <v>控制线每增加一米，价格加15元。</v>
      </c>
    </row>
    <row r="270" ht="42" spans="1:13">
      <c r="A270" s="54">
        <v>8</v>
      </c>
      <c r="B270" s="54" t="str">
        <v>潜水排污泵</v>
      </c>
      <c r="C270" s="54" t="str">
        <v>65WQ/EC40-30-5.5</v>
      </c>
      <c r="D270" s="54">
        <v>36</v>
      </c>
      <c r="E270" s="54">
        <v>25</v>
      </c>
      <c r="F270" s="54">
        <v>2920</v>
      </c>
      <c r="G270" s="54">
        <v>5.5</v>
      </c>
      <c r="H270" s="54">
        <v>10</v>
      </c>
      <c r="I270" s="54">
        <v>0.13</v>
      </c>
      <c r="J270" s="54">
        <v>3500</v>
      </c>
      <c r="K270" s="54">
        <v>35000</v>
      </c>
      <c r="L270" s="54">
        <v>0</v>
      </c>
      <c r="M270" s="80" t="str">
        <v>2025.12.15，电缆线5米；增加一米价格加30元；泵体材质：HT200；泵轴材质：2CR13；电机带过热保护及油室漏水电机漏水保护</v>
      </c>
    </row>
    <row r="271" spans="1:13">
      <c r="A271" s="54">
        <v>0</v>
      </c>
      <c r="B271" s="54" t="str">
        <v>自耦装置</v>
      </c>
      <c r="C271" s="54" t="str">
        <v>DN:65</v>
      </c>
      <c r="D271" s="54">
        <v>0</v>
      </c>
      <c r="E271" s="54">
        <v>0</v>
      </c>
      <c r="F271" s="54">
        <v>0</v>
      </c>
      <c r="G271" s="54">
        <v>0</v>
      </c>
      <c r="H271" s="54">
        <v>10</v>
      </c>
      <c r="I271" s="54">
        <v>0.13</v>
      </c>
      <c r="J271" s="54">
        <v>420</v>
      </c>
      <c r="K271" s="54">
        <v>4200</v>
      </c>
      <c r="L271" s="54">
        <v>0</v>
      </c>
      <c r="M271" s="80" t="str">
        <v>自耦装置材质：HT200；</v>
      </c>
    </row>
    <row r="272" ht="28" spans="1:13">
      <c r="A272" s="54">
        <v>0</v>
      </c>
      <c r="B272" s="54" t="str">
        <v>304不锈钢导杆</v>
      </c>
      <c r="C272" s="54" t="str">
        <v>32*1.2</v>
      </c>
      <c r="D272" s="54">
        <v>0</v>
      </c>
      <c r="E272" s="54">
        <v>0</v>
      </c>
      <c r="F272" s="54">
        <v>0</v>
      </c>
      <c r="G272" s="54">
        <v>0</v>
      </c>
      <c r="H272" s="54">
        <v>10</v>
      </c>
      <c r="I272" s="54">
        <v>0.13</v>
      </c>
      <c r="J272" s="54">
        <v>350</v>
      </c>
      <c r="K272" s="54">
        <v>3500</v>
      </c>
      <c r="L272" s="54">
        <v>0</v>
      </c>
      <c r="M272" s="80" t="str">
        <v>导杆；单根长度2米（2根一套）；单根长度每增加一米价格加200元</v>
      </c>
    </row>
    <row r="273" spans="1:13">
      <c r="A273" s="54">
        <v>0</v>
      </c>
      <c r="B273" s="54" t="str">
        <v>304不锈钢链条</v>
      </c>
      <c r="C273" s="54" t="str">
        <v>6mm</v>
      </c>
      <c r="D273" s="54">
        <v>0</v>
      </c>
      <c r="E273" s="54">
        <v>0</v>
      </c>
      <c r="F273" s="54">
        <v>0</v>
      </c>
      <c r="G273" s="54">
        <v>0</v>
      </c>
      <c r="H273" s="54">
        <v>10</v>
      </c>
      <c r="I273" s="54">
        <v>0.13</v>
      </c>
      <c r="J273" s="54">
        <v>135</v>
      </c>
      <c r="K273" s="54">
        <v>1350</v>
      </c>
      <c r="L273" s="54">
        <v>0</v>
      </c>
      <c r="M273" s="80" t="str">
        <v>304不锈钢链条长度2.0米；长度每增加一米价格加115元</v>
      </c>
    </row>
    <row r="274" ht="70" spans="1:13">
      <c r="A274" s="54">
        <v>0</v>
      </c>
      <c r="B274" s="54" t="str">
        <v>控制柜</v>
      </c>
      <c r="C274" s="54" t="str">
        <v>KQK/T-2ACB-5.5</v>
      </c>
      <c r="D274" s="54">
        <v>0</v>
      </c>
      <c r="E274" s="54">
        <v>0</v>
      </c>
      <c r="F274" s="54">
        <v>0</v>
      </c>
      <c r="G274" s="54">
        <v>0</v>
      </c>
      <c r="H274" s="54">
        <v>2</v>
      </c>
      <c r="I274" s="54">
        <v>0.13</v>
      </c>
      <c r="J274" s="54">
        <v>1650</v>
      </c>
      <c r="K274" s="54">
        <v>3300</v>
      </c>
      <c r="L274" s="54">
        <v>0</v>
      </c>
      <c r="M274" s="80" t="str">
        <v>一控二；自动交替；超高水位双泵同时启动；带BA接口：只监不控（运行、停止、故障）/带高液位报警，通过3浮球控制（低水位：停泵，高水位启泵，超高水位发出报警信号），带油室进水、电机腔进水、绕组过热等保护功能，元器件：天正；2个断路器；</v>
      </c>
    </row>
    <row r="275" ht="84" spans="1:13">
      <c r="A275" s="54">
        <v>0</v>
      </c>
      <c r="B275" s="54" t="str">
        <v>控制柜</v>
      </c>
      <c r="C275" s="54" t="str">
        <v>KQK/T-3ACB-5.5</v>
      </c>
      <c r="D275" s="54">
        <v>0</v>
      </c>
      <c r="E275" s="54">
        <v>0</v>
      </c>
      <c r="F275" s="54">
        <v>0</v>
      </c>
      <c r="G275" s="54">
        <v>0</v>
      </c>
      <c r="H275" s="54">
        <v>2</v>
      </c>
      <c r="I275" s="54">
        <v>0.13</v>
      </c>
      <c r="J275" s="54">
        <v>3000</v>
      </c>
      <c r="K275" s="54">
        <v>6000</v>
      </c>
      <c r="L275" s="54">
        <v>0</v>
      </c>
      <c r="M275" s="80" t="str">
        <v>一控三；自动交替；超高水位双泵同时启动；带BA接口：只监不控（运行、停止、故障）/带高液位报警，通过5浮球控制（低水位：停泵，1水位启1台泵，2水位启2台泵，3水位启三台泵，超高水位发出报警信号），带油室进水、电机腔进水、绕组过热等保护功能，元器件：天正；3个断路器；</v>
      </c>
    </row>
    <row r="276" spans="1:13">
      <c r="A276" s="54">
        <v>0</v>
      </c>
      <c r="B276" s="54" t="str">
        <v>浮球</v>
      </c>
      <c r="C276" s="54" t="str">
        <v>GY-A1</v>
      </c>
      <c r="D276" s="54">
        <v>0</v>
      </c>
      <c r="E276" s="54">
        <v>0</v>
      </c>
      <c r="F276" s="54">
        <v>0</v>
      </c>
      <c r="G276" s="54">
        <v>0</v>
      </c>
      <c r="H276" s="54">
        <v>16</v>
      </c>
      <c r="I276" s="54">
        <v>0.13</v>
      </c>
      <c r="J276" s="54">
        <v>115</v>
      </c>
      <c r="K276" s="54">
        <v>1840</v>
      </c>
      <c r="L276" s="54">
        <v>0</v>
      </c>
      <c r="M276" s="80" t="str">
        <v>控制线每增加一米，价格加15元。</v>
      </c>
    </row>
    <row r="277" ht="42" spans="1:13">
      <c r="A277" s="54">
        <v>9</v>
      </c>
      <c r="B277" s="54" t="str">
        <v>潜水排污泵</v>
      </c>
      <c r="C277" s="54" t="str">
        <v>65WQ/EC40-30-5.5</v>
      </c>
      <c r="D277" s="54">
        <v>36</v>
      </c>
      <c r="E277" s="54">
        <v>28</v>
      </c>
      <c r="F277" s="54">
        <v>2920</v>
      </c>
      <c r="G277" s="54">
        <v>5.5</v>
      </c>
      <c r="H277" s="54">
        <v>14</v>
      </c>
      <c r="I277" s="54">
        <v>0.13</v>
      </c>
      <c r="J277" s="54">
        <v>3500</v>
      </c>
      <c r="K277" s="54">
        <v>49000</v>
      </c>
      <c r="L277" s="54">
        <v>0</v>
      </c>
      <c r="M277" s="80" t="str">
        <v>2025.12.15，电缆线5米；增加一米价格加30元；泵体材质：HT200；泵轴材质：2CR13；电机具有：过热保护及油室漏水电机漏水保护</v>
      </c>
    </row>
    <row r="278" spans="1:13">
      <c r="A278" s="54">
        <v>0</v>
      </c>
      <c r="B278" s="54" t="str">
        <v>自耦装置</v>
      </c>
      <c r="C278" s="54" t="str">
        <v>DN:65</v>
      </c>
      <c r="D278" s="54">
        <v>0</v>
      </c>
      <c r="E278" s="54">
        <v>0</v>
      </c>
      <c r="F278" s="54">
        <v>0</v>
      </c>
      <c r="G278" s="54">
        <v>0</v>
      </c>
      <c r="H278" s="54">
        <v>14</v>
      </c>
      <c r="I278" s="54">
        <v>0.13</v>
      </c>
      <c r="J278" s="54">
        <v>420</v>
      </c>
      <c r="K278" s="54">
        <v>5880</v>
      </c>
      <c r="L278" s="54">
        <v>0</v>
      </c>
      <c r="M278" s="80" t="str">
        <v>自耦装置材质：HT200；</v>
      </c>
    </row>
    <row r="279" ht="28" spans="1:13">
      <c r="A279" s="54">
        <v>0</v>
      </c>
      <c r="B279" s="54" t="str">
        <v>304不锈钢导杆</v>
      </c>
      <c r="C279" s="54" t="str">
        <v>32*1.2</v>
      </c>
      <c r="D279" s="54">
        <v>0</v>
      </c>
      <c r="E279" s="54">
        <v>0</v>
      </c>
      <c r="F279" s="54">
        <v>0</v>
      </c>
      <c r="G279" s="54">
        <v>0</v>
      </c>
      <c r="H279" s="54">
        <v>14</v>
      </c>
      <c r="I279" s="54">
        <v>0.13</v>
      </c>
      <c r="J279" s="54">
        <v>350</v>
      </c>
      <c r="K279" s="54">
        <v>4900</v>
      </c>
      <c r="L279" s="54">
        <v>0</v>
      </c>
      <c r="M279" s="80" t="str">
        <v>导杆；单根长度2米（2根一套）；单根长度每增加一米价格加200元</v>
      </c>
    </row>
    <row r="280" spans="1:13">
      <c r="A280" s="54">
        <v>0</v>
      </c>
      <c r="B280" s="54" t="str">
        <v>304不锈钢链条</v>
      </c>
      <c r="C280" s="54" t="str">
        <v>6mm</v>
      </c>
      <c r="D280" s="54">
        <v>0</v>
      </c>
      <c r="E280" s="54">
        <v>0</v>
      </c>
      <c r="F280" s="54">
        <v>0</v>
      </c>
      <c r="G280" s="54">
        <v>0</v>
      </c>
      <c r="H280" s="54">
        <v>14</v>
      </c>
      <c r="I280" s="54">
        <v>0.13</v>
      </c>
      <c r="J280" s="54">
        <v>135</v>
      </c>
      <c r="K280" s="54">
        <v>1890</v>
      </c>
      <c r="L280" s="54">
        <v>0</v>
      </c>
      <c r="M280" s="80" t="str">
        <v>304不锈钢链条长度2.0米；长度每增加一米价格加115元</v>
      </c>
    </row>
    <row r="281" ht="70" spans="1:13">
      <c r="A281" s="54">
        <v>0</v>
      </c>
      <c r="B281" s="54" t="str">
        <v>控制柜</v>
      </c>
      <c r="C281" s="54" t="str">
        <v>KQK/T-2ACB-5.5</v>
      </c>
      <c r="D281" s="54">
        <v>0</v>
      </c>
      <c r="E281" s="54">
        <v>0</v>
      </c>
      <c r="F281" s="54">
        <v>0</v>
      </c>
      <c r="G281" s="54">
        <v>0</v>
      </c>
      <c r="H281" s="54">
        <v>7</v>
      </c>
      <c r="I281" s="54">
        <v>0.13</v>
      </c>
      <c r="J281" s="54">
        <v>1650</v>
      </c>
      <c r="K281" s="54">
        <v>11550</v>
      </c>
      <c r="L281" s="54">
        <v>0</v>
      </c>
      <c r="M281" s="80" t="str">
        <v>一控二；自动交替；超高水位双泵同时启动；带BA接口：只监不控（运行、停止、故障）/带高液位报警，通过3浮球控制（低水位：停泵，高水位启泵，超高水位发出报警信号），带油室进水、电机腔进水、绕组过热等保护功能，元器件：天正；2个断路器；</v>
      </c>
    </row>
    <row r="282" spans="1:13">
      <c r="A282" s="54">
        <v>0</v>
      </c>
      <c r="B282" s="54" t="str">
        <v>浮球</v>
      </c>
      <c r="C282" s="54" t="str">
        <v>GY-A1</v>
      </c>
      <c r="D282" s="54">
        <v>0</v>
      </c>
      <c r="E282" s="54">
        <v>0</v>
      </c>
      <c r="F282" s="54">
        <v>0</v>
      </c>
      <c r="G282" s="54">
        <v>0</v>
      </c>
      <c r="H282" s="54">
        <v>21</v>
      </c>
      <c r="I282" s="54">
        <v>0.13</v>
      </c>
      <c r="J282" s="54">
        <v>115</v>
      </c>
      <c r="K282" s="54">
        <v>2415</v>
      </c>
      <c r="L282" s="54">
        <v>0</v>
      </c>
      <c r="M282" s="80" t="str">
        <v>控制线每增加一米，价格加15元。</v>
      </c>
    </row>
    <row r="283" ht="28" spans="1:13">
      <c r="A283" s="54">
        <v>10</v>
      </c>
      <c r="B283" s="54" t="str">
        <v>潜水排污泵</v>
      </c>
      <c r="C283" s="54" t="str">
        <v>50WQ/E20-10.5-1.1</v>
      </c>
      <c r="D283" s="54">
        <v>18</v>
      </c>
      <c r="E283" s="54">
        <v>10</v>
      </c>
      <c r="F283" s="54">
        <v>2825</v>
      </c>
      <c r="G283" s="54">
        <v>1.1</v>
      </c>
      <c r="H283" s="54">
        <v>2</v>
      </c>
      <c r="I283" s="54">
        <v>0.13</v>
      </c>
      <c r="J283" s="54">
        <v>1260</v>
      </c>
      <c r="K283" s="54">
        <v>2520</v>
      </c>
      <c r="L283" s="54">
        <v>0</v>
      </c>
      <c r="M283" s="80" t="str">
        <v>2025.12.15，电缆线5米；增加一米价格加15元；泵体材质：HT200；泵轴材质：2CR13；</v>
      </c>
    </row>
    <row r="284" spans="1:13">
      <c r="A284" s="54">
        <v>0</v>
      </c>
      <c r="B284" s="54" t="str">
        <v>自耦装置</v>
      </c>
      <c r="C284" s="54" t="str">
        <v>DN:50</v>
      </c>
      <c r="D284" s="54">
        <v>0</v>
      </c>
      <c r="E284" s="54">
        <v>0</v>
      </c>
      <c r="F284" s="54">
        <v>0</v>
      </c>
      <c r="G284" s="54">
        <v>0</v>
      </c>
      <c r="H284" s="54">
        <v>2</v>
      </c>
      <c r="I284" s="54">
        <v>0.13</v>
      </c>
      <c r="J284" s="54">
        <v>300</v>
      </c>
      <c r="K284" s="54">
        <v>600</v>
      </c>
      <c r="L284" s="54">
        <v>0</v>
      </c>
      <c r="M284" s="80" t="str">
        <v>自耦装置材质：HT200；</v>
      </c>
    </row>
    <row r="285" ht="28" spans="1:13">
      <c r="A285" s="54">
        <v>0</v>
      </c>
      <c r="B285" s="54" t="str">
        <v>304不锈钢导杆</v>
      </c>
      <c r="C285" s="54" t="str">
        <v>32*1.2</v>
      </c>
      <c r="D285" s="54">
        <v>0</v>
      </c>
      <c r="E285" s="54">
        <v>0</v>
      </c>
      <c r="F285" s="54">
        <v>0</v>
      </c>
      <c r="G285" s="54">
        <v>0</v>
      </c>
      <c r="H285" s="54">
        <v>2</v>
      </c>
      <c r="I285" s="54">
        <v>0.13</v>
      </c>
      <c r="J285" s="54">
        <v>350</v>
      </c>
      <c r="K285" s="54">
        <v>700</v>
      </c>
      <c r="L285" s="54">
        <v>0</v>
      </c>
      <c r="M285" s="80" t="str">
        <v>导杆；单根长度2米（2根一套）；单根长度每增加一米价格加200元</v>
      </c>
    </row>
    <row r="286" spans="1:13">
      <c r="A286" s="54">
        <v>0</v>
      </c>
      <c r="B286" s="54" t="str">
        <v>304不锈钢链条</v>
      </c>
      <c r="C286" s="54" t="str">
        <v>6mm</v>
      </c>
      <c r="D286" s="54">
        <v>0</v>
      </c>
      <c r="E286" s="54">
        <v>0</v>
      </c>
      <c r="F286" s="54">
        <v>0</v>
      </c>
      <c r="G286" s="54">
        <v>0</v>
      </c>
      <c r="H286" s="54">
        <v>2</v>
      </c>
      <c r="I286" s="54">
        <v>0.13</v>
      </c>
      <c r="J286" s="54">
        <v>135</v>
      </c>
      <c r="K286" s="54">
        <v>270</v>
      </c>
      <c r="L286" s="54">
        <v>0</v>
      </c>
      <c r="M286" s="80" t="str">
        <v>304不锈钢链条长度2.0米；长度每增加一米价格加115元</v>
      </c>
    </row>
    <row r="287" ht="56" spans="1:13">
      <c r="A287" s="54">
        <v>0</v>
      </c>
      <c r="B287" s="54" t="str">
        <v>控制柜</v>
      </c>
      <c r="C287" s="54" t="str">
        <v>KQK/T-2ACE-1.1</v>
      </c>
      <c r="D287" s="54">
        <v>0</v>
      </c>
      <c r="E287" s="54">
        <v>0</v>
      </c>
      <c r="F287" s="54">
        <v>0</v>
      </c>
      <c r="G287" s="54">
        <v>0</v>
      </c>
      <c r="H287" s="54">
        <v>1</v>
      </c>
      <c r="I287" s="54">
        <v>0.13</v>
      </c>
      <c r="J287" s="54">
        <v>1100</v>
      </c>
      <c r="K287" s="54">
        <v>1100</v>
      </c>
      <c r="L287" s="54">
        <v>0</v>
      </c>
      <c r="M287" s="80" t="str">
        <v>一控二；自动交替；超高水位双泵同时启动；带BA接口：只监不控（运行、停止、故障）/带高液位报警，通过3浮球控制（低水位：停泵，高水位启泵，超高水位发出报警信号），元器件：天正；2个断路器；</v>
      </c>
    </row>
    <row r="288" spans="1:13">
      <c r="A288" s="54">
        <v>0</v>
      </c>
      <c r="B288" s="54" t="str">
        <v>浮球</v>
      </c>
      <c r="C288" s="54" t="str">
        <v>GY-A1</v>
      </c>
      <c r="D288" s="54">
        <v>0</v>
      </c>
      <c r="E288" s="54">
        <v>0</v>
      </c>
      <c r="F288" s="54">
        <v>0</v>
      </c>
      <c r="G288" s="54">
        <v>0</v>
      </c>
      <c r="H288" s="54">
        <v>3</v>
      </c>
      <c r="I288" s="54">
        <v>0.13</v>
      </c>
      <c r="J288" s="54">
        <v>115</v>
      </c>
      <c r="K288" s="54">
        <v>345</v>
      </c>
      <c r="L288" s="54">
        <v>0</v>
      </c>
      <c r="M288" s="80" t="str">
        <v>控制线每增加一米，价格加15元。</v>
      </c>
    </row>
    <row r="289" ht="28" spans="1:13">
      <c r="A289" s="54">
        <v>11</v>
      </c>
      <c r="B289" s="54" t="str">
        <v>潜水排污泵</v>
      </c>
      <c r="C289" s="54" t="str">
        <v>50WQ/E10-24-1.5</v>
      </c>
      <c r="D289" s="54">
        <v>8</v>
      </c>
      <c r="E289" s="54">
        <v>23</v>
      </c>
      <c r="F289" s="54">
        <v>2840</v>
      </c>
      <c r="G289" s="54">
        <v>1.5</v>
      </c>
      <c r="H289" s="54">
        <v>2</v>
      </c>
      <c r="I289" s="54">
        <v>0.13</v>
      </c>
      <c r="J289" s="54">
        <v>1350</v>
      </c>
      <c r="K289" s="54">
        <v>2700</v>
      </c>
      <c r="L289" s="54">
        <v>0</v>
      </c>
      <c r="M289" s="80" t="str">
        <v>2025.12.15，电缆线5米；增加一米价格加15元；泵体材质：HT200；泵轴材质：2CR13；</v>
      </c>
    </row>
    <row r="290" spans="1:13">
      <c r="A290" s="54">
        <v>0</v>
      </c>
      <c r="B290" s="54" t="str">
        <v>自耦装置</v>
      </c>
      <c r="C290" s="54" t="str">
        <v>DN:50</v>
      </c>
      <c r="D290" s="54">
        <v>0</v>
      </c>
      <c r="E290" s="54">
        <v>0</v>
      </c>
      <c r="F290" s="54">
        <v>0</v>
      </c>
      <c r="G290" s="54">
        <v>0</v>
      </c>
      <c r="H290" s="54">
        <v>2</v>
      </c>
      <c r="I290" s="54">
        <v>0.13</v>
      </c>
      <c r="J290" s="54">
        <v>300</v>
      </c>
      <c r="K290" s="54">
        <v>600</v>
      </c>
      <c r="L290" s="54">
        <v>0</v>
      </c>
      <c r="M290" s="80" t="str">
        <v>自耦装置材质：HT200；</v>
      </c>
    </row>
    <row r="291" ht="28" spans="1:13">
      <c r="A291" s="54">
        <v>0</v>
      </c>
      <c r="B291" s="54" t="str">
        <v>304不锈钢导杆</v>
      </c>
      <c r="C291" s="54" t="str">
        <v>32*1.2</v>
      </c>
      <c r="D291" s="54">
        <v>0</v>
      </c>
      <c r="E291" s="54">
        <v>0</v>
      </c>
      <c r="F291" s="54">
        <v>0</v>
      </c>
      <c r="G291" s="54">
        <v>0</v>
      </c>
      <c r="H291" s="54">
        <v>2</v>
      </c>
      <c r="I291" s="54">
        <v>0.13</v>
      </c>
      <c r="J291" s="54">
        <v>350</v>
      </c>
      <c r="K291" s="54">
        <v>700</v>
      </c>
      <c r="L291" s="54">
        <v>0</v>
      </c>
      <c r="M291" s="80" t="str">
        <v>导杆；单根长度2米（2根一套）；单根长度每增加一米价格加200元</v>
      </c>
    </row>
    <row r="292" spans="1:13">
      <c r="A292" s="54">
        <v>0</v>
      </c>
      <c r="B292" s="54" t="str">
        <v>304不锈钢链条</v>
      </c>
      <c r="C292" s="54" t="str">
        <v>6mm</v>
      </c>
      <c r="D292" s="54">
        <v>0</v>
      </c>
      <c r="E292" s="54">
        <v>0</v>
      </c>
      <c r="F292" s="54">
        <v>0</v>
      </c>
      <c r="G292" s="54">
        <v>0</v>
      </c>
      <c r="H292" s="54">
        <v>2</v>
      </c>
      <c r="I292" s="54">
        <v>0.13</v>
      </c>
      <c r="J292" s="54">
        <v>135</v>
      </c>
      <c r="K292" s="54">
        <v>270</v>
      </c>
      <c r="L292" s="54">
        <v>0</v>
      </c>
      <c r="M292" s="80" t="str">
        <v>304不锈钢链条长度2.0米；长度每增加一米价格加115元</v>
      </c>
    </row>
    <row r="293" ht="56" spans="1:13">
      <c r="A293" s="54">
        <v>0</v>
      </c>
      <c r="B293" s="54" t="str">
        <v>控制柜</v>
      </c>
      <c r="C293" s="54" t="str">
        <v>KQK/T-2ACE-1.5</v>
      </c>
      <c r="D293" s="54">
        <v>0</v>
      </c>
      <c r="E293" s="54">
        <v>0</v>
      </c>
      <c r="F293" s="54">
        <v>0</v>
      </c>
      <c r="G293" s="54">
        <v>0</v>
      </c>
      <c r="H293" s="54">
        <v>1</v>
      </c>
      <c r="I293" s="54">
        <v>0.13</v>
      </c>
      <c r="J293" s="54">
        <v>1100</v>
      </c>
      <c r="K293" s="54">
        <v>1100</v>
      </c>
      <c r="L293" s="54">
        <v>0</v>
      </c>
      <c r="M293" s="80" t="str">
        <v>一控二；自动交替；超高水位双泵同时启动；带BA接口：只监不控（运行、停止、故障）/带高液位报警，（低水位：停泵，高水位启泵，超高水位发出报警信号），元器件：天正；2个断路器；</v>
      </c>
    </row>
    <row r="294" spans="1:13">
      <c r="A294" s="54">
        <v>0</v>
      </c>
      <c r="B294" s="54" t="str">
        <v>浮球</v>
      </c>
      <c r="C294" s="54" t="str">
        <v>GY-A1</v>
      </c>
      <c r="D294" s="54">
        <v>0</v>
      </c>
      <c r="E294" s="54">
        <v>0</v>
      </c>
      <c r="F294" s="54">
        <v>0</v>
      </c>
      <c r="G294" s="54">
        <v>0</v>
      </c>
      <c r="H294" s="54">
        <v>3</v>
      </c>
      <c r="I294" s="54">
        <v>0.13</v>
      </c>
      <c r="J294" s="54">
        <v>115</v>
      </c>
      <c r="K294" s="54">
        <v>345</v>
      </c>
      <c r="L294" s="54">
        <v>0</v>
      </c>
      <c r="M294" s="80" t="str">
        <v>控制线每增加一米，价格加15元。</v>
      </c>
    </row>
    <row r="295" ht="42" spans="1:13">
      <c r="A295" s="54">
        <v>1</v>
      </c>
      <c r="B295" s="54" t="str">
        <v>潜水排污泵</v>
      </c>
      <c r="C295" s="54" t="str">
        <v>100WQ65-20-7.5</v>
      </c>
      <c r="D295" s="54">
        <v>65</v>
      </c>
      <c r="E295" s="54">
        <v>20</v>
      </c>
      <c r="F295" s="54">
        <v>0</v>
      </c>
      <c r="G295" s="54">
        <v>7.5</v>
      </c>
      <c r="H295" s="54">
        <v>3</v>
      </c>
      <c r="I295" s="54">
        <v>0.13</v>
      </c>
      <c r="J295" s="54">
        <v>3200</v>
      </c>
      <c r="K295" s="54">
        <v>9600</v>
      </c>
      <c r="L295" s="54" t="str">
        <v>申宝</v>
      </c>
      <c r="M295" s="80" t="str">
        <v>标配电缆5米；增加一米，价格加15；2025.12.10，无预付款，货到现场一个月付至到货款的95%，（六个月商业银行承兑汇票），结算金额5%，质保两年，无息支付</v>
      </c>
    </row>
    <row r="296" ht="42" spans="1:13">
      <c r="A296" s="54">
        <v>0</v>
      </c>
      <c r="B296" s="54" t="str">
        <v>自耦</v>
      </c>
      <c r="C296" s="54" t="str">
        <v>GAK-100</v>
      </c>
      <c r="D296" s="54">
        <v>0</v>
      </c>
      <c r="E296" s="54">
        <v>0</v>
      </c>
      <c r="F296" s="54">
        <v>0</v>
      </c>
      <c r="G296" s="54">
        <v>0</v>
      </c>
      <c r="H296" s="54">
        <v>3</v>
      </c>
      <c r="I296" s="54">
        <v>0.13</v>
      </c>
      <c r="J296" s="54">
        <v>500</v>
      </c>
      <c r="K296" s="54">
        <v>1500</v>
      </c>
      <c r="L296" s="54" t="str">
        <v>申宝</v>
      </c>
      <c r="M296" s="80" t="str">
        <v>2025.12.10，无预付款，货到现场一个月付至到货款的95%，（六个月商业银行承兑汇票），结算金额5%，质保两年，无息支付</v>
      </c>
    </row>
    <row r="297" ht="42" spans="1:13">
      <c r="A297" s="54">
        <v>0</v>
      </c>
      <c r="B297" s="54" t="str">
        <v>不锈钢导杆</v>
      </c>
      <c r="C297" s="54" t="str">
        <v>单根长度2米(2根一套)</v>
      </c>
      <c r="D297" s="54">
        <v>0</v>
      </c>
      <c r="E297" s="54">
        <v>0</v>
      </c>
      <c r="F297" s="54">
        <v>0</v>
      </c>
      <c r="G297" s="54">
        <v>0</v>
      </c>
      <c r="H297" s="54">
        <v>3</v>
      </c>
      <c r="I297" s="54">
        <v>0.13</v>
      </c>
      <c r="J297" s="54">
        <v>650</v>
      </c>
      <c r="K297" s="54">
        <v>1950</v>
      </c>
      <c r="L297" s="54" t="str">
        <v>申宝</v>
      </c>
      <c r="M297" s="80" t="str">
        <v>增加一米，价格加280；2025.12.10，无预付款，货到现场一个月付至到货款的95%，（六个月商业银行承兑汇票），结算金额5%，质保两年，无息支付</v>
      </c>
    </row>
    <row r="298" ht="42" spans="1:13">
      <c r="A298" s="54">
        <v>0</v>
      </c>
      <c r="B298" s="54" t="str">
        <v>不锈钢链条</v>
      </c>
      <c r="C298" s="54" t="str">
        <v>长度3米</v>
      </c>
      <c r="D298" s="54">
        <v>0</v>
      </c>
      <c r="E298" s="54">
        <v>0</v>
      </c>
      <c r="F298" s="54">
        <v>0</v>
      </c>
      <c r="G298" s="54">
        <v>0</v>
      </c>
      <c r="H298" s="54">
        <v>3</v>
      </c>
      <c r="I298" s="54">
        <v>0.13</v>
      </c>
      <c r="J298" s="54">
        <v>150</v>
      </c>
      <c r="K298" s="54">
        <v>450</v>
      </c>
      <c r="L298" s="54" t="str">
        <v>申宝</v>
      </c>
      <c r="M298" s="80" t="str">
        <v>增加一米，价格加60；2025.12.10，无预付款，货到现场一个月付至到货款的95%，（六个月商业银行承兑汇票），结算金额5%，质保两年，无息支付</v>
      </c>
    </row>
    <row r="299" ht="84" spans="1:13">
      <c r="A299" s="54">
        <v>0</v>
      </c>
      <c r="B299" s="54" t="str">
        <v>控制柜</v>
      </c>
      <c r="C299" s="54" t="str">
        <v>SBKP-3ACL-7.5</v>
      </c>
      <c r="D299" s="54">
        <v>0</v>
      </c>
      <c r="E299" s="54">
        <v>0</v>
      </c>
      <c r="F299" s="54">
        <v>0</v>
      </c>
      <c r="G299" s="54">
        <v>0</v>
      </c>
      <c r="H299" s="54">
        <v>1</v>
      </c>
      <c r="I299" s="54">
        <v>0.13</v>
      </c>
      <c r="J299" s="54">
        <v>3700</v>
      </c>
      <c r="K299" s="54">
        <v>3700</v>
      </c>
      <c r="L299" s="54" t="str">
        <v>申宝</v>
      </c>
      <c r="M299" s="80" t="str">
        <v>一控三；自动交替带BA接口：只监不控
(运行、停止、故障)/带高液位报警，
不含浮球，断路器：施耐德，接触器，
继电器：正泰；二个施耐德断路器；2025.12.10，无预付款，货到现场一个月付至到货款的95%，（六个月商业银行承兑汇票），结算金额5%，质保两年，无息支付</v>
      </c>
    </row>
    <row r="300" ht="42" spans="1:13">
      <c r="A300" s="54">
        <v>2</v>
      </c>
      <c r="B300" s="54" t="str">
        <v>潜水排污泵</v>
      </c>
      <c r="C300" s="54" t="str">
        <v>80WQ50-25-7.5</v>
      </c>
      <c r="D300" s="54">
        <v>50</v>
      </c>
      <c r="E300" s="54">
        <v>25</v>
      </c>
      <c r="F300" s="54">
        <v>0</v>
      </c>
      <c r="G300" s="54">
        <v>7.5</v>
      </c>
      <c r="H300" s="54">
        <v>2</v>
      </c>
      <c r="I300" s="54">
        <v>0.13</v>
      </c>
      <c r="J300" s="54">
        <v>2900</v>
      </c>
      <c r="K300" s="54">
        <v>5800</v>
      </c>
      <c r="L300" s="54" t="str">
        <v>申宝</v>
      </c>
      <c r="M300" s="80" t="str">
        <v>标配电缆5米；增加一米，价格加15；2025.12.10，无预付款，货到现场一个月付至到货款的95%，（六个月商业银行承兑汇票），结算金额5%，质保两年，无息支付</v>
      </c>
    </row>
    <row r="301" ht="42" spans="1:13">
      <c r="A301" s="54">
        <v>0</v>
      </c>
      <c r="B301" s="54" t="str">
        <v>自耦</v>
      </c>
      <c r="C301" s="54" t="str">
        <v>GAK-80</v>
      </c>
      <c r="D301" s="54">
        <v>0</v>
      </c>
      <c r="E301" s="54">
        <v>0</v>
      </c>
      <c r="F301" s="54">
        <v>0</v>
      </c>
      <c r="G301" s="54">
        <v>0</v>
      </c>
      <c r="H301" s="54">
        <v>2</v>
      </c>
      <c r="I301" s="54">
        <v>0.13</v>
      </c>
      <c r="J301" s="54">
        <v>400</v>
      </c>
      <c r="K301" s="54">
        <v>800</v>
      </c>
      <c r="L301" s="54" t="str">
        <v>申宝</v>
      </c>
      <c r="M301" s="80" t="str">
        <v>增加一米，价格加60；2025.12.10，无预付款，货到现场一个月付至到货款的95%，（六个月商业银行承兑汇票），结算金额5%，质保两年，无息支付</v>
      </c>
    </row>
    <row r="302" ht="42" spans="1:13">
      <c r="A302" s="54">
        <v>0</v>
      </c>
      <c r="B302" s="54" t="str">
        <v>不锈钢导杆</v>
      </c>
      <c r="C302" s="54" t="str">
        <v>单根长度2米(2根一套)</v>
      </c>
      <c r="D302" s="54">
        <v>0</v>
      </c>
      <c r="E302" s="54">
        <v>0</v>
      </c>
      <c r="F302" s="54">
        <v>0</v>
      </c>
      <c r="G302" s="54">
        <v>0</v>
      </c>
      <c r="H302" s="54">
        <v>2</v>
      </c>
      <c r="I302" s="54">
        <v>0.13</v>
      </c>
      <c r="J302" s="54">
        <v>650</v>
      </c>
      <c r="K302" s="54">
        <v>1300</v>
      </c>
      <c r="L302" s="54" t="str">
        <v>申宝</v>
      </c>
      <c r="M302" s="80" t="str">
        <v>增加一米，价格加280；2025.12.10，无预付款，货到现场一个月付至到货款的95%，（六个月商业银行承兑汇票），结算金额5%，质保两年，无息支付</v>
      </c>
    </row>
    <row r="303" ht="42" spans="1:13">
      <c r="A303" s="54">
        <v>0</v>
      </c>
      <c r="B303" s="54" t="str">
        <v>不锈钢链条</v>
      </c>
      <c r="C303" s="54" t="str">
        <v>长度3米</v>
      </c>
      <c r="D303" s="54">
        <v>0</v>
      </c>
      <c r="E303" s="54">
        <v>0</v>
      </c>
      <c r="F303" s="54">
        <v>0</v>
      </c>
      <c r="G303" s="54">
        <v>0</v>
      </c>
      <c r="H303" s="54">
        <v>2</v>
      </c>
      <c r="I303" s="54">
        <v>0.13</v>
      </c>
      <c r="J303" s="54">
        <v>150</v>
      </c>
      <c r="K303" s="54">
        <v>300</v>
      </c>
      <c r="L303" s="54" t="str">
        <v>申宝</v>
      </c>
      <c r="M303" s="80" t="str">
        <v>2025.12.10，无预付款，货到现场一个月付至到货款的95%，（六个月商业银行承兑汇票），结算金额5%，质保两年，无息支付</v>
      </c>
    </row>
    <row r="304" ht="84" spans="1:13">
      <c r="A304" s="54">
        <v>0</v>
      </c>
      <c r="B304" s="54" t="str">
        <v>控制柜</v>
      </c>
      <c r="C304" s="54" t="str">
        <v>SBKP-2ACL-7.5</v>
      </c>
      <c r="D304" s="54">
        <v>0</v>
      </c>
      <c r="E304" s="54">
        <v>0</v>
      </c>
      <c r="F304" s="54">
        <v>0</v>
      </c>
      <c r="G304" s="54">
        <v>0</v>
      </c>
      <c r="H304" s="54">
        <v>1</v>
      </c>
      <c r="I304" s="54">
        <v>0.13</v>
      </c>
      <c r="J304" s="54">
        <v>3700</v>
      </c>
      <c r="K304" s="54">
        <v>3700</v>
      </c>
      <c r="L304" s="54" t="str">
        <v>申宝</v>
      </c>
      <c r="M304" s="80" t="str">
        <v>一控二，自动交替带BA接口：只监不控
(运行、停止、故障)/带高液位报警，
不含浮球，断路器：施耐德，接触器，
继电器：正泰；三个施耐德断路器；2025.12.10，无预付款，货到现场一个月付至到货款的95%，（六个月商业银行承兑汇票），结算金额5%，质保两年，无息支付</v>
      </c>
    </row>
    <row r="305" ht="42" spans="1:13">
      <c r="A305" s="54">
        <v>3</v>
      </c>
      <c r="B305" s="54" t="str">
        <v>潜水排污泵</v>
      </c>
      <c r="C305" s="54" t="str">
        <v>80WQ50-25-7.5</v>
      </c>
      <c r="D305" s="54">
        <v>50</v>
      </c>
      <c r="E305" s="54">
        <v>25</v>
      </c>
      <c r="F305" s="54">
        <v>0</v>
      </c>
      <c r="G305" s="54">
        <v>7.5</v>
      </c>
      <c r="H305" s="54">
        <v>2</v>
      </c>
      <c r="I305" s="54">
        <v>0.13</v>
      </c>
      <c r="J305" s="54">
        <v>2900</v>
      </c>
      <c r="K305" s="54">
        <v>5800</v>
      </c>
      <c r="L305" s="54" t="str">
        <v>申宝</v>
      </c>
      <c r="M305" s="80" t="str">
        <v>标配电缆5米；增加一米，价格加15；2025.12.10，无预付款，货到现场一个月付至到货款的95%，（六个月商业银行承兑汇票），结算金额5%，质保两年，无息支付</v>
      </c>
    </row>
    <row r="306" ht="42" spans="1:13">
      <c r="A306" s="54">
        <v>0</v>
      </c>
      <c r="B306" s="54" t="str">
        <v>自耦</v>
      </c>
      <c r="C306" s="54" t="str">
        <v>GAK-80</v>
      </c>
      <c r="D306" s="54">
        <v>0</v>
      </c>
      <c r="E306" s="54">
        <v>0</v>
      </c>
      <c r="F306" s="54">
        <v>0</v>
      </c>
      <c r="G306" s="54">
        <v>0</v>
      </c>
      <c r="H306" s="54">
        <v>2</v>
      </c>
      <c r="I306" s="54">
        <v>0.13</v>
      </c>
      <c r="J306" s="54">
        <v>400</v>
      </c>
      <c r="K306" s="54">
        <v>800</v>
      </c>
      <c r="L306" s="54" t="str">
        <v>申宝</v>
      </c>
      <c r="M306" s="80" t="str">
        <v>2025.12.10，无预付款，货到现场一个月付至到货款的95%，（六个月商业银行承兑汇票），结算金额5%，质保两年，无息支付</v>
      </c>
    </row>
    <row r="307" ht="42" spans="1:13">
      <c r="A307" s="54">
        <v>0</v>
      </c>
      <c r="B307" s="54" t="str">
        <v>不锈钢导杆</v>
      </c>
      <c r="C307" s="54" t="str">
        <v>单根长度2米(2根一套)</v>
      </c>
      <c r="D307" s="54">
        <v>0</v>
      </c>
      <c r="E307" s="54">
        <v>0</v>
      </c>
      <c r="F307" s="54">
        <v>0</v>
      </c>
      <c r="G307" s="54">
        <v>0</v>
      </c>
      <c r="H307" s="54">
        <v>2</v>
      </c>
      <c r="I307" s="54">
        <v>0.13</v>
      </c>
      <c r="J307" s="54">
        <v>650</v>
      </c>
      <c r="K307" s="54">
        <v>1300</v>
      </c>
      <c r="L307" s="54" t="str">
        <v>申宝</v>
      </c>
      <c r="M307" s="80" t="str">
        <v>增加一米，价格加280；2025.12.10，无预付款，货到现场一个月付至到货款的95%，（六个月商业银行承兑汇票），结算金额5%，质保两年，无息支付</v>
      </c>
    </row>
    <row r="308" ht="42" spans="1:13">
      <c r="A308" s="54">
        <v>0</v>
      </c>
      <c r="B308" s="54" t="str">
        <v>不锈钢链条</v>
      </c>
      <c r="C308" s="54" t="str">
        <v>长度3米</v>
      </c>
      <c r="D308" s="54">
        <v>0</v>
      </c>
      <c r="E308" s="54">
        <v>0</v>
      </c>
      <c r="F308" s="54">
        <v>0</v>
      </c>
      <c r="G308" s="54">
        <v>0</v>
      </c>
      <c r="H308" s="54">
        <v>2</v>
      </c>
      <c r="I308" s="54">
        <v>0.13</v>
      </c>
      <c r="J308" s="54">
        <v>150</v>
      </c>
      <c r="K308" s="54">
        <v>300</v>
      </c>
      <c r="L308" s="54" t="str">
        <v>申宝</v>
      </c>
      <c r="M308" s="80" t="str">
        <v>增加一米，价格加60；2025.12.10，无预付款，货到现场一个月付至到货款的95%，（六个月商业银行承兑汇票），结算金额5%，质保两年，无息支付</v>
      </c>
    </row>
    <row r="309" ht="84" spans="1:13">
      <c r="A309" s="54">
        <v>0</v>
      </c>
      <c r="B309" s="54" t="str">
        <v>控制柜</v>
      </c>
      <c r="C309" s="54" t="str">
        <v>SBKP-2ACL-7.5</v>
      </c>
      <c r="D309" s="54">
        <v>0</v>
      </c>
      <c r="E309" s="54">
        <v>0</v>
      </c>
      <c r="F309" s="54">
        <v>0</v>
      </c>
      <c r="G309" s="54">
        <v>0</v>
      </c>
      <c r="H309" s="54">
        <v>1</v>
      </c>
      <c r="I309" s="54">
        <v>0.13</v>
      </c>
      <c r="J309" s="54">
        <v>2500</v>
      </c>
      <c r="K309" s="54">
        <v>2500</v>
      </c>
      <c r="L309" s="54" t="str">
        <v>申宝</v>
      </c>
      <c r="M309" s="80" t="str">
        <v>一控二；自动交替带BA接口：只监不控
(运行、停止、故障)/带高液位报警，
不含浮球，断路器：施耐德，接触器，
继电器：正泰；二个施耐德断路器；2025.12.10，无预付款，货到现场一个月付至到货款的95%，（六个月商业银行承兑汇票），结算金额5%，质保两年，无息支付</v>
      </c>
    </row>
    <row r="310" ht="42" spans="1:13">
      <c r="A310" s="54">
        <v>4</v>
      </c>
      <c r="B310" s="54" t="str">
        <v>潜水排污泵</v>
      </c>
      <c r="C310" s="54" t="str">
        <v>65WQ25-18-3</v>
      </c>
      <c r="D310" s="54">
        <v>25</v>
      </c>
      <c r="E310" s="54">
        <v>18</v>
      </c>
      <c r="F310" s="54">
        <v>0</v>
      </c>
      <c r="G310" s="54">
        <v>3</v>
      </c>
      <c r="H310" s="54">
        <v>4</v>
      </c>
      <c r="I310" s="54">
        <v>0.13</v>
      </c>
      <c r="J310" s="54">
        <v>1550</v>
      </c>
      <c r="K310" s="54">
        <v>6200</v>
      </c>
      <c r="L310" s="54" t="str">
        <v>申宝</v>
      </c>
      <c r="M310" s="80" t="str">
        <v>标配电缆5米；增加一米，价格加15；2025.12.10，无预付款，货到现场一个月付至到货款的95%，（六个月商业银行承兑汇票），结算金额5%，质保两年，无息支付</v>
      </c>
    </row>
    <row r="311" ht="42" spans="1:13">
      <c r="A311" s="54">
        <v>0</v>
      </c>
      <c r="B311" s="54" t="str">
        <v>自耦</v>
      </c>
      <c r="C311" s="54" t="str">
        <v>GAK-65</v>
      </c>
      <c r="D311" s="54">
        <v>0</v>
      </c>
      <c r="E311" s="54">
        <v>0</v>
      </c>
      <c r="F311" s="54">
        <v>0</v>
      </c>
      <c r="G311" s="54">
        <v>0</v>
      </c>
      <c r="H311" s="54">
        <v>4</v>
      </c>
      <c r="I311" s="54">
        <v>0.13</v>
      </c>
      <c r="J311" s="54">
        <v>250</v>
      </c>
      <c r="K311" s="54">
        <v>1000</v>
      </c>
      <c r="L311" s="54" t="str">
        <v>申宝</v>
      </c>
      <c r="M311" s="80" t="str">
        <v>2025.12.10，无预付款，货到现场一个月付至到货款的95%，（六个月商业银行承兑汇票），结算金额5%，质保两年，无息支付</v>
      </c>
    </row>
    <row r="312" ht="42" spans="1:13">
      <c r="A312" s="54">
        <v>0</v>
      </c>
      <c r="B312" s="54" t="str">
        <v>不锈钢导杆</v>
      </c>
      <c r="C312" s="54" t="str">
        <v>单根长度2米(2根一套)</v>
      </c>
      <c r="D312" s="54">
        <v>0</v>
      </c>
      <c r="E312" s="54">
        <v>0</v>
      </c>
      <c r="F312" s="54">
        <v>0</v>
      </c>
      <c r="G312" s="54">
        <v>0</v>
      </c>
      <c r="H312" s="54">
        <v>4</v>
      </c>
      <c r="I312" s="54">
        <v>0.13</v>
      </c>
      <c r="J312" s="54">
        <v>450</v>
      </c>
      <c r="K312" s="54">
        <v>1800</v>
      </c>
      <c r="L312" s="54" t="str">
        <v>申宝</v>
      </c>
      <c r="M312" s="80" t="str">
        <v>增加一米，价格加240；2025.12.10，无预付款，货到现场一个月付至到货款的95%，（六个月商业银行承兑汇票），结算金额5%，质保两年，无息支付</v>
      </c>
    </row>
    <row r="313" ht="42" spans="1:13">
      <c r="A313" s="54">
        <v>0</v>
      </c>
      <c r="B313" s="54" t="str">
        <v>不锈钢链条</v>
      </c>
      <c r="C313" s="54" t="str">
        <v>长度3米</v>
      </c>
      <c r="D313" s="54">
        <v>0</v>
      </c>
      <c r="E313" s="54">
        <v>0</v>
      </c>
      <c r="F313" s="54">
        <v>0</v>
      </c>
      <c r="G313" s="54">
        <v>0</v>
      </c>
      <c r="H313" s="54">
        <v>4</v>
      </c>
      <c r="I313" s="54">
        <v>0.13</v>
      </c>
      <c r="J313" s="54">
        <v>150</v>
      </c>
      <c r="K313" s="54">
        <v>600</v>
      </c>
      <c r="L313" s="54" t="str">
        <v>申宝</v>
      </c>
      <c r="M313" s="80" t="str">
        <v>增加一米，价格加60；2025.12.10，无预付款，货到现场一个月付至到货款的95%，（六个月商业银行承兑汇票），结算金额5%，质保两年，无息支付</v>
      </c>
    </row>
    <row r="314" ht="84" spans="1:13">
      <c r="A314" s="54">
        <v>0</v>
      </c>
      <c r="B314" s="54" t="str">
        <v>控制柜</v>
      </c>
      <c r="C314" s="54" t="str">
        <v>SBKP-2ACL-3</v>
      </c>
      <c r="D314" s="54">
        <v>0</v>
      </c>
      <c r="E314" s="54">
        <v>0</v>
      </c>
      <c r="F314" s="54">
        <v>0</v>
      </c>
      <c r="G314" s="54">
        <v>0</v>
      </c>
      <c r="H314" s="54">
        <v>2</v>
      </c>
      <c r="I314" s="54">
        <v>0.13</v>
      </c>
      <c r="J314" s="54">
        <v>1250</v>
      </c>
      <c r="K314" s="54">
        <v>2500</v>
      </c>
      <c r="L314" s="54" t="str">
        <v>申宝</v>
      </c>
      <c r="M314" s="80" t="str">
        <v>自动交替带BA接口：只监不控(运行、
停止、故障)/带高液位报警，不含浮球，
断路器：施耐德，接触器，继电器：正
泰；二个施耐德断路器；2025.12.10，无预付款，货到现场一个月付至到货款的95%，（六个月商业银行承兑汇票），结算金额5%，质保两年，无息支付</v>
      </c>
    </row>
    <row r="315" ht="42" spans="1:13">
      <c r="A315" s="54">
        <v>5</v>
      </c>
      <c r="B315" s="54" t="str">
        <v>潜水排污泵</v>
      </c>
      <c r="C315" s="54" t="str">
        <v>50WQ15-18-2.2</v>
      </c>
      <c r="D315" s="54">
        <v>15</v>
      </c>
      <c r="E315" s="54">
        <v>18</v>
      </c>
      <c r="F315" s="54">
        <v>0</v>
      </c>
      <c r="G315" s="54">
        <v>2.2</v>
      </c>
      <c r="H315" s="54">
        <v>4</v>
      </c>
      <c r="I315" s="54">
        <v>0.13</v>
      </c>
      <c r="J315" s="54">
        <v>1200</v>
      </c>
      <c r="K315" s="54">
        <v>4800</v>
      </c>
      <c r="L315" s="54" t="str">
        <v>申宝</v>
      </c>
      <c r="M315" s="80" t="str">
        <v>标配电缆5米；增加一米，价格加15；2025.12.10，无预付款，货到现场一个月付至到货款的95%，（六个月商业银行承兑汇票），结算金额5%，质保两年，无息支付</v>
      </c>
    </row>
    <row r="316" ht="42" spans="1:13">
      <c r="A316" s="54">
        <v>0</v>
      </c>
      <c r="B316" s="54" t="str">
        <v>自耦</v>
      </c>
      <c r="C316" s="54" t="str">
        <v>GAK-50</v>
      </c>
      <c r="D316" s="54">
        <v>0</v>
      </c>
      <c r="E316" s="54">
        <v>0</v>
      </c>
      <c r="F316" s="54">
        <v>0</v>
      </c>
      <c r="G316" s="54">
        <v>0</v>
      </c>
      <c r="H316" s="54">
        <v>4</v>
      </c>
      <c r="I316" s="54">
        <v>0.13</v>
      </c>
      <c r="J316" s="54">
        <v>200</v>
      </c>
      <c r="K316" s="54">
        <v>800</v>
      </c>
      <c r="L316" s="54" t="str">
        <v>申宝</v>
      </c>
      <c r="M316" s="80" t="str">
        <v>2025.12.10，无预付款，货到现场一个月付至到货款的95%，（六个月商业银行承兑汇票），结算金额5%，质保两年，无息支付</v>
      </c>
    </row>
    <row r="317" ht="42" spans="1:13">
      <c r="A317" s="54">
        <v>0</v>
      </c>
      <c r="B317" s="54" t="str">
        <v>不锈钢导杆</v>
      </c>
      <c r="C317" s="54" t="str">
        <v>单根长度2米(2根一套)</v>
      </c>
      <c r="D317" s="54">
        <v>0</v>
      </c>
      <c r="E317" s="54">
        <v>0</v>
      </c>
      <c r="F317" s="54">
        <v>0</v>
      </c>
      <c r="G317" s="54">
        <v>0</v>
      </c>
      <c r="H317" s="54">
        <v>4</v>
      </c>
      <c r="I317" s="54">
        <v>0.13</v>
      </c>
      <c r="J317" s="54">
        <v>450</v>
      </c>
      <c r="K317" s="54">
        <v>1800</v>
      </c>
      <c r="L317" s="54" t="str">
        <v>申宝</v>
      </c>
      <c r="M317" s="80" t="str">
        <v>增加一米，价格加240；2025.12.10，无预付款，货到现场一个月付至到货款的95%，（六个月商业银行承兑汇票），结算金额5%，质保两年，无息支付</v>
      </c>
    </row>
    <row r="318" ht="42" spans="1:13">
      <c r="A318" s="54">
        <v>0</v>
      </c>
      <c r="B318" s="54" t="str">
        <v>不锈钢链条</v>
      </c>
      <c r="C318" s="54" t="str">
        <v>长度3米</v>
      </c>
      <c r="D318" s="54">
        <v>0</v>
      </c>
      <c r="E318" s="54">
        <v>0</v>
      </c>
      <c r="F318" s="54">
        <v>0</v>
      </c>
      <c r="G318" s="54">
        <v>0</v>
      </c>
      <c r="H318" s="54">
        <v>4</v>
      </c>
      <c r="I318" s="54">
        <v>0.13</v>
      </c>
      <c r="J318" s="54">
        <v>150</v>
      </c>
      <c r="K318" s="54">
        <v>600</v>
      </c>
      <c r="L318" s="54" t="str">
        <v>申宝</v>
      </c>
      <c r="M318" s="80" t="str">
        <v>增加一米，价格加60；2025.12.10，无预付款，货到现场一个月付至到货款的95%，（六个月商业银行承兑汇票），结算金额5%，质保两年，无息支付</v>
      </c>
    </row>
    <row r="319" ht="84" spans="1:13">
      <c r="A319" s="54">
        <v>0</v>
      </c>
      <c r="B319" s="54" t="str">
        <v>控制柜</v>
      </c>
      <c r="C319" s="54" t="str">
        <v>SBKP-2ACL-2.2</v>
      </c>
      <c r="D319" s="54">
        <v>0</v>
      </c>
      <c r="E319" s="54">
        <v>0</v>
      </c>
      <c r="F319" s="54">
        <v>0</v>
      </c>
      <c r="G319" s="54">
        <v>0</v>
      </c>
      <c r="H319" s="54">
        <v>2</v>
      </c>
      <c r="I319" s="54">
        <v>0.13</v>
      </c>
      <c r="J319" s="54">
        <v>1250</v>
      </c>
      <c r="K319" s="54">
        <v>2500</v>
      </c>
      <c r="L319" s="54" t="str">
        <v>申宝</v>
      </c>
      <c r="M319" s="80" t="str">
        <v>一控二；自动交替带BA接口：只监不控
(运行、停止、故障)/带高液位报警，
不含浮球，断路器：施耐德，接触器，
继电器：正泰；二个施耐德断路器；2025.12.10，无预付款，货到现场一个月付至到货款的95%，（六个月商业银行承兑汇票），结算金额5%，质保两年，无息支付</v>
      </c>
    </row>
    <row r="320" ht="42" spans="1:13">
      <c r="A320" s="54">
        <v>6</v>
      </c>
      <c r="B320" s="54" t="str">
        <v>潜水排污泵</v>
      </c>
      <c r="C320" s="54" t="str">
        <v>50WQ10-18-2.2</v>
      </c>
      <c r="D320" s="54">
        <v>10</v>
      </c>
      <c r="E320" s="54">
        <v>18</v>
      </c>
      <c r="F320" s="54">
        <v>0</v>
      </c>
      <c r="G320" s="54">
        <v>2.2</v>
      </c>
      <c r="H320" s="54">
        <v>2</v>
      </c>
      <c r="I320" s="54">
        <v>0.13</v>
      </c>
      <c r="J320" s="54">
        <v>1200</v>
      </c>
      <c r="K320" s="54">
        <v>2400</v>
      </c>
      <c r="L320" s="54" t="str">
        <v>申宝</v>
      </c>
      <c r="M320" s="80" t="str">
        <v>标配电缆5米；增加一米，价格加15；2025.12.10，无预付款，货到现场一个月付至到货款的95%，（六个月商业银行承兑汇票），结算金额5%，质保两年，无息支付</v>
      </c>
    </row>
    <row r="321" ht="42" spans="1:13">
      <c r="A321" s="54">
        <v>0</v>
      </c>
      <c r="B321" s="54" t="str">
        <v>自耦</v>
      </c>
      <c r="C321" s="54" t="str">
        <v>GAK-50</v>
      </c>
      <c r="D321" s="54">
        <v>0</v>
      </c>
      <c r="E321" s="54">
        <v>0</v>
      </c>
      <c r="F321" s="54">
        <v>0</v>
      </c>
      <c r="G321" s="54">
        <v>0</v>
      </c>
      <c r="H321" s="54">
        <v>2</v>
      </c>
      <c r="I321" s="54">
        <v>0.13</v>
      </c>
      <c r="J321" s="54">
        <v>200</v>
      </c>
      <c r="K321" s="54">
        <v>400</v>
      </c>
      <c r="L321" s="54" t="str">
        <v>申宝</v>
      </c>
      <c r="M321" s="80" t="str">
        <v>2025.12.10，无预付款，货到现场一个月付至到货款的95%，（六个月商业银行承兑汇票），结算金额5%，质保两年，无息支付</v>
      </c>
    </row>
    <row r="322" ht="42" spans="1:13">
      <c r="A322" s="54">
        <v>0</v>
      </c>
      <c r="B322" s="54" t="str">
        <v>不锈钢导杆</v>
      </c>
      <c r="C322" s="54" t="str">
        <v>单根长度2米(2根一套)</v>
      </c>
      <c r="D322" s="54">
        <v>0</v>
      </c>
      <c r="E322" s="54">
        <v>0</v>
      </c>
      <c r="F322" s="54">
        <v>0</v>
      </c>
      <c r="G322" s="54">
        <v>0</v>
      </c>
      <c r="H322" s="54">
        <v>2</v>
      </c>
      <c r="I322" s="54">
        <v>0.13</v>
      </c>
      <c r="J322" s="54">
        <v>450</v>
      </c>
      <c r="K322" s="54">
        <v>900</v>
      </c>
      <c r="L322" s="54" t="str">
        <v>申宝</v>
      </c>
      <c r="M322" s="80" t="str">
        <v>增加一米，价格加240；2025.12.10，无预付款，货到现场一个月付至到货款的95%，（六个月商业银行承兑汇票），结算金额5%，质保两年，无息支付</v>
      </c>
    </row>
    <row r="323" ht="42" spans="1:13">
      <c r="A323" s="54">
        <v>0</v>
      </c>
      <c r="B323" s="54" t="str">
        <v>不锈钢链条</v>
      </c>
      <c r="C323" s="54" t="str">
        <v>长度3米</v>
      </c>
      <c r="D323" s="54">
        <v>0</v>
      </c>
      <c r="E323" s="54">
        <v>0</v>
      </c>
      <c r="F323" s="54">
        <v>0</v>
      </c>
      <c r="G323" s="54">
        <v>0</v>
      </c>
      <c r="H323" s="54">
        <v>2</v>
      </c>
      <c r="I323" s="54">
        <v>0.13</v>
      </c>
      <c r="J323" s="54">
        <v>150</v>
      </c>
      <c r="K323" s="54">
        <v>300</v>
      </c>
      <c r="L323" s="54" t="str">
        <v>申宝</v>
      </c>
      <c r="M323" s="80" t="str">
        <v>增加一米，价格加60；2025.12.10，无预付款，货到现场一个月付至到货款的95%，（六个月商业银行承兑汇票），结算金额5%，质保两年，无息支付</v>
      </c>
    </row>
    <row r="324" ht="84" spans="1:13">
      <c r="A324" s="54">
        <v>0</v>
      </c>
      <c r="B324" s="54" t="str">
        <v>控制柜</v>
      </c>
      <c r="C324" s="54" t="str">
        <v>SBKP-2ACL-2.2</v>
      </c>
      <c r="D324" s="54">
        <v>0</v>
      </c>
      <c r="E324" s="54">
        <v>0</v>
      </c>
      <c r="F324" s="54">
        <v>0</v>
      </c>
      <c r="G324" s="54">
        <v>0</v>
      </c>
      <c r="H324" s="54" t="str">
        <v>工</v>
      </c>
      <c r="I324" s="54">
        <v>0.13</v>
      </c>
      <c r="J324" s="54">
        <v>1250</v>
      </c>
      <c r="K324" s="54">
        <v>1250</v>
      </c>
      <c r="L324" s="54" t="str">
        <v>申宝</v>
      </c>
      <c r="M324" s="80" t="str">
        <v>一控二；自动交替带BA接口：只监不控
(运行、停止、故障)/带高液位报警，
不含浮球，断路器：施耐德，接触器，
继电器：正泰；二个施耐德断路器；2025.12.10，无预付款，货到现场一个月付至到货款的95%，（六个月商业银行承兑汇票），结算金额5%，质保两年，无息支付</v>
      </c>
    </row>
    <row r="325" ht="42" spans="1:13">
      <c r="A325" s="54">
        <v>7</v>
      </c>
      <c r="B325" s="54" t="str">
        <v>潜水排污泵</v>
      </c>
      <c r="C325" s="54" t="str">
        <v>100WQ65-20-7.5</v>
      </c>
      <c r="D325" s="54">
        <v>65</v>
      </c>
      <c r="E325" s="54">
        <v>20</v>
      </c>
      <c r="F325" s="54">
        <v>0</v>
      </c>
      <c r="G325" s="54">
        <v>7.5</v>
      </c>
      <c r="H325" s="54">
        <v>3</v>
      </c>
      <c r="I325" s="54">
        <v>0.13</v>
      </c>
      <c r="J325" s="54">
        <v>3200</v>
      </c>
      <c r="K325" s="54">
        <v>9600</v>
      </c>
      <c r="L325" s="54" t="str">
        <v>申宝</v>
      </c>
      <c r="M325" s="80" t="str">
        <v>标配电缆5米；增加一米，价格加15；2025.12.10，无预付款，货到现场一个月付至到货款的95%，（六个月商业银行承兑汇票），结算金额5%，质保两年，无息支付</v>
      </c>
    </row>
    <row r="326" ht="42" spans="1:13">
      <c r="A326" s="54">
        <v>0</v>
      </c>
      <c r="B326" s="54" t="str">
        <v>自耦</v>
      </c>
      <c r="C326" s="54" t="str">
        <v>GAK-100</v>
      </c>
      <c r="D326" s="54">
        <v>0</v>
      </c>
      <c r="E326" s="54">
        <v>0</v>
      </c>
      <c r="F326" s="54">
        <v>0</v>
      </c>
      <c r="G326" s="54">
        <v>0</v>
      </c>
      <c r="H326" s="54">
        <v>3</v>
      </c>
      <c r="I326" s="54">
        <v>0.13</v>
      </c>
      <c r="J326" s="54">
        <v>500</v>
      </c>
      <c r="K326" s="54">
        <v>1500</v>
      </c>
      <c r="L326" s="54" t="str">
        <v>申宝</v>
      </c>
      <c r="M326" s="80" t="str">
        <v>2025.12.10，无预付款，货到现场一个月付至到货款的95%，（六个月商业银行承兑汇票），结算金额5%，质保两年，无息支付</v>
      </c>
    </row>
    <row r="327" ht="42" spans="1:13">
      <c r="A327" s="54">
        <v>0</v>
      </c>
      <c r="B327" s="54" t="str">
        <v>不锈钢导杆</v>
      </c>
      <c r="C327" s="54" t="str">
        <v>单根长度2米(2根一套)</v>
      </c>
      <c r="D327" s="54">
        <v>0</v>
      </c>
      <c r="E327" s="54">
        <v>0</v>
      </c>
      <c r="F327" s="54">
        <v>0</v>
      </c>
      <c r="G327" s="54">
        <v>0</v>
      </c>
      <c r="H327" s="54">
        <v>3</v>
      </c>
      <c r="I327" s="54">
        <v>0.13</v>
      </c>
      <c r="J327" s="54">
        <v>650</v>
      </c>
      <c r="K327" s="54">
        <v>1950</v>
      </c>
      <c r="L327" s="54" t="str">
        <v>申宝</v>
      </c>
      <c r="M327" s="80" t="str">
        <v>增加一米，价格加240；2025.12.10，无预付款，货到现场一个月付至到货款的95%，（六个月商业银行承兑汇票），结算金额5%，质保两年，无息支付</v>
      </c>
    </row>
    <row r="328" ht="42" spans="1:13">
      <c r="A328" s="54">
        <v>0</v>
      </c>
      <c r="B328" s="54" t="str">
        <v>不锈钢链条</v>
      </c>
      <c r="C328" s="54" t="str">
        <v>长度3米</v>
      </c>
      <c r="D328" s="54">
        <v>0</v>
      </c>
      <c r="E328" s="54">
        <v>0</v>
      </c>
      <c r="F328" s="54">
        <v>0</v>
      </c>
      <c r="G328" s="54">
        <v>0</v>
      </c>
      <c r="H328" s="54">
        <v>3</v>
      </c>
      <c r="I328" s="54">
        <v>0.13</v>
      </c>
      <c r="J328" s="54">
        <v>150</v>
      </c>
      <c r="K328" s="54">
        <v>450</v>
      </c>
      <c r="L328" s="54" t="str">
        <v>申宝</v>
      </c>
      <c r="M328" s="80" t="str">
        <v>增加一米，价格加60；2025.12.10，无预付款，货到现场一个月付至到货款的95%，（六个月商业银行承兑汇票），结算金额5%，质保两年，无息支付</v>
      </c>
    </row>
    <row r="329" ht="84" spans="1:13">
      <c r="A329" s="54">
        <v>0</v>
      </c>
      <c r="B329" s="54" t="str">
        <v>控制柜</v>
      </c>
      <c r="C329" s="54" t="str">
        <v>SBKP-2ACL-7.5</v>
      </c>
      <c r="D329" s="54">
        <v>0</v>
      </c>
      <c r="E329" s="54">
        <v>0</v>
      </c>
      <c r="F329" s="54">
        <v>0</v>
      </c>
      <c r="G329" s="54">
        <v>0</v>
      </c>
      <c r="H329" s="54">
        <v>1</v>
      </c>
      <c r="I329" s="54">
        <v>0.13</v>
      </c>
      <c r="J329" s="54">
        <v>2500</v>
      </c>
      <c r="K329" s="54">
        <v>2500</v>
      </c>
      <c r="L329" s="54" t="str">
        <v>申宝</v>
      </c>
      <c r="M329" s="80" t="str">
        <v>一控二；自动交替带BA接口：只监不控
(运行、停止、故障)/带高液位报警，
不含浮球，断路器：施耐德，接触器，
继电器：正泰；二个施耐德断路器；2025.12.10，无预付款，货到现场一个月付至到货款的95%，（六个月商业银行承兑汇票），结算金额5%，质保两年，无息支付</v>
      </c>
    </row>
    <row r="330" ht="42" spans="1:13">
      <c r="A330" s="54">
        <v>8</v>
      </c>
      <c r="B330" s="54" t="str">
        <v>潜水排污泵</v>
      </c>
      <c r="C330" s="54" t="str">
        <v>65WQ40-20-4</v>
      </c>
      <c r="D330" s="54">
        <v>40</v>
      </c>
      <c r="E330" s="54">
        <v>20</v>
      </c>
      <c r="F330" s="54">
        <v>0</v>
      </c>
      <c r="G330" s="54">
        <v>4</v>
      </c>
      <c r="H330" s="54">
        <v>2</v>
      </c>
      <c r="I330" s="54">
        <v>0.13</v>
      </c>
      <c r="J330" s="54">
        <v>1850</v>
      </c>
      <c r="K330" s="54">
        <v>3700</v>
      </c>
      <c r="L330" s="54" t="str">
        <v>申宝</v>
      </c>
      <c r="M330" s="80" t="str">
        <v>标配电缆5米；增加一米，价格加15；2025.12.10，无预付款，货到现场一个月付至到货款的95%，（六个月商业银行承兑汇票），结算金额5%，质保两年，无息支付</v>
      </c>
    </row>
    <row r="331" ht="42" spans="1:13">
      <c r="A331" s="54">
        <v>0</v>
      </c>
      <c r="B331" s="54" t="str">
        <v>自耦</v>
      </c>
      <c r="C331" s="54" t="str">
        <v>GAK-65</v>
      </c>
      <c r="D331" s="54">
        <v>0</v>
      </c>
      <c r="E331" s="54">
        <v>0</v>
      </c>
      <c r="F331" s="54">
        <v>0</v>
      </c>
      <c r="G331" s="54">
        <v>0</v>
      </c>
      <c r="H331" s="54">
        <v>2</v>
      </c>
      <c r="I331" s="54">
        <v>0.13</v>
      </c>
      <c r="J331" s="54">
        <v>250</v>
      </c>
      <c r="K331" s="54">
        <v>500</v>
      </c>
      <c r="L331" s="54" t="str">
        <v>申宝</v>
      </c>
      <c r="M331" s="80" t="str">
        <v>2025.12.10，无预付款，货到现场一个月付至到货款的95%，（六个月商业银行承兑汇票），结算金额5%，质保两年，无息支付</v>
      </c>
    </row>
    <row r="332" ht="42" spans="1:13">
      <c r="A332" s="54">
        <v>0</v>
      </c>
      <c r="B332" s="54" t="str">
        <v>不锈钢导杆</v>
      </c>
      <c r="C332" s="54" t="str">
        <v>单根长度2米(2根一套)</v>
      </c>
      <c r="D332" s="54">
        <v>0</v>
      </c>
      <c r="E332" s="54">
        <v>0</v>
      </c>
      <c r="F332" s="54">
        <v>0</v>
      </c>
      <c r="G332" s="54">
        <v>0</v>
      </c>
      <c r="H332" s="54">
        <v>2</v>
      </c>
      <c r="I332" s="54">
        <v>0.13</v>
      </c>
      <c r="J332" s="54">
        <v>450</v>
      </c>
      <c r="K332" s="54">
        <v>900</v>
      </c>
      <c r="L332" s="54" t="str">
        <v>申宝</v>
      </c>
      <c r="M332" s="80" t="str">
        <v>增加一米，价格加240；2025.12.10，无预付款，货到现场一个月付至到货款的95%，（六个月商业银行承兑汇票），结算金额5%，质保两年，无息支付</v>
      </c>
    </row>
    <row r="333" ht="42" spans="1:13">
      <c r="A333" s="54">
        <v>0</v>
      </c>
      <c r="B333" s="54" t="str">
        <v>不锈钢链条</v>
      </c>
      <c r="C333" s="54" t="str">
        <v>长度3米</v>
      </c>
      <c r="D333" s="54">
        <v>0</v>
      </c>
      <c r="E333" s="54">
        <v>0</v>
      </c>
      <c r="F333" s="54">
        <v>0</v>
      </c>
      <c r="G333" s="54">
        <v>0</v>
      </c>
      <c r="H333" s="54">
        <v>2</v>
      </c>
      <c r="I333" s="54">
        <v>0.13</v>
      </c>
      <c r="J333" s="54">
        <v>150</v>
      </c>
      <c r="K333" s="54">
        <v>300</v>
      </c>
      <c r="L333" s="54" t="str">
        <v>申宝</v>
      </c>
      <c r="M333" s="80" t="str">
        <v>增加一米，价格加60；2025.12.10，无预付款，货到现场一个月付至到货款的95%，（六个月商业银行承兑汇票），结算金额5%，质保两年，无息支付</v>
      </c>
    </row>
    <row r="334" ht="84" spans="1:13">
      <c r="A334" s="54">
        <v>0</v>
      </c>
      <c r="B334" s="54" t="str">
        <v>控制柜</v>
      </c>
      <c r="C334" s="54" t="str">
        <v>SBKP-2ACL-4</v>
      </c>
      <c r="D334" s="54">
        <v>0</v>
      </c>
      <c r="E334" s="54">
        <v>0</v>
      </c>
      <c r="F334" s="54">
        <v>0</v>
      </c>
      <c r="G334" s="54">
        <v>0</v>
      </c>
      <c r="H334" s="54">
        <v>1</v>
      </c>
      <c r="I334" s="54">
        <v>0.13</v>
      </c>
      <c r="J334" s="54">
        <v>1250</v>
      </c>
      <c r="K334" s="54">
        <v>1250</v>
      </c>
      <c r="L334" s="54" t="str">
        <v>申宝</v>
      </c>
      <c r="M334" s="80" t="str">
        <v>一控二；自动交替带BA接口：只监不控
(运行、停止、故障)/带高液位报警，
不含浮球，断路器：施耐德，接触器，
继电器：正泰；二个施耐德断路器；2025.12.10，无预付款，货到现场一个月付至到货款的95%，（六个月商业银行承兑汇票），结算金额5%，质保两年，无息支付</v>
      </c>
    </row>
    <row r="335" ht="42" spans="1:13">
      <c r="A335" s="54">
        <v>9</v>
      </c>
      <c r="B335" s="54" t="str">
        <v>潜水排污泵</v>
      </c>
      <c r="C335" s="54" t="str">
        <v>50WQ30-20-3</v>
      </c>
      <c r="D335" s="54">
        <v>30</v>
      </c>
      <c r="E335" s="54">
        <v>20</v>
      </c>
      <c r="F335" s="54">
        <v>0</v>
      </c>
      <c r="G335" s="54">
        <v>3</v>
      </c>
      <c r="H335" s="54">
        <v>6</v>
      </c>
      <c r="I335" s="54">
        <v>0.13</v>
      </c>
      <c r="J335" s="54">
        <v>1300</v>
      </c>
      <c r="K335" s="54">
        <v>7800</v>
      </c>
      <c r="L335" s="54" t="str">
        <v>申宝</v>
      </c>
      <c r="M335" s="80" t="str">
        <v>标配电缆5米；增加一米，价格加15；2025.12.10，无预付款，货到现场一个月付至到货款的95%，（六个月商业银行承兑汇票），结算金额5%，质保两年，无息支付</v>
      </c>
    </row>
    <row r="336" ht="42" spans="1:13">
      <c r="A336" s="54">
        <v>0</v>
      </c>
      <c r="B336" s="54" t="str">
        <v>自耦</v>
      </c>
      <c r="C336" s="54" t="str">
        <v>GAK-50</v>
      </c>
      <c r="D336" s="54">
        <v>0</v>
      </c>
      <c r="E336" s="54">
        <v>0</v>
      </c>
      <c r="F336" s="54">
        <v>0</v>
      </c>
      <c r="G336" s="54">
        <v>0</v>
      </c>
      <c r="H336" s="54">
        <v>6</v>
      </c>
      <c r="I336" s="54">
        <v>0.13</v>
      </c>
      <c r="J336" s="54">
        <v>200</v>
      </c>
      <c r="K336" s="54">
        <v>1200</v>
      </c>
      <c r="L336" s="54" t="str">
        <v>申宝</v>
      </c>
      <c r="M336" s="80" t="str">
        <v>2025.12.10，无预付款，货到现场一个月付至到货款的95%，（六个月商业银行承兑汇票），结算金额5%，质保两年，无息支付</v>
      </c>
    </row>
    <row r="337" ht="42" spans="1:13">
      <c r="A337" s="54">
        <v>0</v>
      </c>
      <c r="B337" s="54" t="str">
        <v>不锈钢导杆</v>
      </c>
      <c r="C337" s="54" t="str">
        <v>单根长度2米(2根一套)</v>
      </c>
      <c r="D337" s="54">
        <v>0</v>
      </c>
      <c r="E337" s="54">
        <v>0</v>
      </c>
      <c r="F337" s="54">
        <v>0</v>
      </c>
      <c r="G337" s="54">
        <v>0</v>
      </c>
      <c r="H337" s="54">
        <v>6</v>
      </c>
      <c r="I337" s="54">
        <v>0.13</v>
      </c>
      <c r="J337" s="54">
        <v>450</v>
      </c>
      <c r="K337" s="54">
        <v>2700</v>
      </c>
      <c r="L337" s="54" t="str">
        <v>申宝</v>
      </c>
      <c r="M337" s="80" t="str">
        <v>增加一米，价格加240；2025.12.10，无预付款，货到现场一个月付至到货款的95%，（六个月商业银行承兑汇票），结算金额5%，质保两年，无息支付</v>
      </c>
    </row>
    <row r="338" ht="42" spans="1:13">
      <c r="A338" s="54">
        <v>0</v>
      </c>
      <c r="B338" s="54" t="str">
        <v>不锈钢链条</v>
      </c>
      <c r="C338" s="54" t="str">
        <v>长度3米</v>
      </c>
      <c r="D338" s="54">
        <v>0</v>
      </c>
      <c r="E338" s="54">
        <v>0</v>
      </c>
      <c r="F338" s="54">
        <v>0</v>
      </c>
      <c r="G338" s="54">
        <v>0</v>
      </c>
      <c r="H338" s="54">
        <v>6</v>
      </c>
      <c r="I338" s="54">
        <v>0.13</v>
      </c>
      <c r="J338" s="54">
        <v>150</v>
      </c>
      <c r="K338" s="54">
        <v>900</v>
      </c>
      <c r="L338" s="54" t="str">
        <v>申宝</v>
      </c>
      <c r="M338" s="80" t="str">
        <v>增加一米，价格加60；2025.12.10，无预付款，货到现场一个月付至到货款的95%，（六个月商业银行承兑汇票），结算金额5%，质保两年，无息支付</v>
      </c>
    </row>
    <row r="339" ht="84" spans="1:13">
      <c r="A339" s="54">
        <v>0</v>
      </c>
      <c r="B339" s="54" t="str">
        <v>控制柜</v>
      </c>
      <c r="C339" s="54" t="str">
        <v>SBKP-2ACL-3</v>
      </c>
      <c r="D339" s="54">
        <v>0</v>
      </c>
      <c r="E339" s="54">
        <v>0</v>
      </c>
      <c r="F339" s="54">
        <v>0</v>
      </c>
      <c r="G339" s="54">
        <v>0</v>
      </c>
      <c r="H339" s="54">
        <v>3</v>
      </c>
      <c r="I339" s="54">
        <v>0.13</v>
      </c>
      <c r="J339" s="54">
        <v>1250</v>
      </c>
      <c r="K339" s="54">
        <v>3750</v>
      </c>
      <c r="L339" s="54" t="str">
        <v>申宝</v>
      </c>
      <c r="M339" s="80" t="str">
        <v>一控二；自动交替带BA接口：只监不控
(运行、停止、故障)/带高液位报警，
不含浮球，断路器：施耐德，接触器，
继电器：正泰；二个施耐德断路器；2025.12.10，无预付款，货到现场一个月付至到货款的95%，（六个月商业银行承兑汇票），结算金额5%，质保两年，无息支付</v>
      </c>
    </row>
    <row r="340" ht="42" spans="1:13">
      <c r="A340" s="54">
        <v>10</v>
      </c>
      <c r="B340" s="54" t="str">
        <v>潜水排污泵</v>
      </c>
      <c r="C340" s="54" t="str">
        <v>50WQ25-20-3</v>
      </c>
      <c r="D340" s="54">
        <v>25</v>
      </c>
      <c r="E340" s="54">
        <v>20</v>
      </c>
      <c r="F340" s="54">
        <v>0</v>
      </c>
      <c r="G340" s="54">
        <v>3</v>
      </c>
      <c r="H340" s="54">
        <v>16</v>
      </c>
      <c r="I340" s="54">
        <v>0.13</v>
      </c>
      <c r="J340" s="54">
        <v>1300</v>
      </c>
      <c r="K340" s="54">
        <v>20800</v>
      </c>
      <c r="L340" s="54" t="str">
        <v>申宝</v>
      </c>
      <c r="M340" s="80" t="str">
        <v>标配电缆5米；增加一米，价格加15；2025.12.10，无预付款，货到现场一个月付至到货款的95%，（六个月商业银行承兑汇票），结算金额5%，质保两年，无息支付</v>
      </c>
    </row>
    <row r="341" ht="42" spans="1:13">
      <c r="A341" s="54">
        <v>0</v>
      </c>
      <c r="B341" s="54" t="str">
        <v>自耦</v>
      </c>
      <c r="C341" s="54" t="str">
        <v>GAK-50</v>
      </c>
      <c r="D341" s="54">
        <v>0</v>
      </c>
      <c r="E341" s="54">
        <v>0</v>
      </c>
      <c r="F341" s="54">
        <v>0</v>
      </c>
      <c r="G341" s="54">
        <v>0</v>
      </c>
      <c r="H341" s="54">
        <v>16</v>
      </c>
      <c r="I341" s="54">
        <v>0.13</v>
      </c>
      <c r="J341" s="54">
        <v>200</v>
      </c>
      <c r="K341" s="54">
        <v>3200</v>
      </c>
      <c r="L341" s="54" t="str">
        <v>申宝</v>
      </c>
      <c r="M341" s="80" t="str">
        <v>2025.12.10，无预付款，货到现场一个月付至到货款的95%，（六个月商业银行承兑汇票），结算金额5%，质保两年，无息支付</v>
      </c>
    </row>
    <row r="342" ht="42" spans="1:13">
      <c r="A342" s="54">
        <v>0</v>
      </c>
      <c r="B342" s="54" t="str">
        <v>不锈钢导杆</v>
      </c>
      <c r="C342" s="54" t="str">
        <v>单根长度2米(2根一套)</v>
      </c>
      <c r="D342" s="54">
        <v>0</v>
      </c>
      <c r="E342" s="54">
        <v>0</v>
      </c>
      <c r="F342" s="54">
        <v>0</v>
      </c>
      <c r="G342" s="54">
        <v>0</v>
      </c>
      <c r="H342" s="54">
        <v>16</v>
      </c>
      <c r="I342" s="54">
        <v>0.13</v>
      </c>
      <c r="J342" s="54">
        <v>450</v>
      </c>
      <c r="K342" s="54">
        <v>7200</v>
      </c>
      <c r="L342" s="54" t="str">
        <v>申宝</v>
      </c>
      <c r="M342" s="80" t="str">
        <v>增加一米，价格加240；2025.12.10，无预付款，货到现场一个月付至到货款的95%，（六个月商业银行承兑汇票），结算金额5%，质保两年，无息支付</v>
      </c>
    </row>
    <row r="343" ht="42" spans="1:13">
      <c r="A343" s="54">
        <v>0</v>
      </c>
      <c r="B343" s="54" t="str">
        <v>不锈钢链条</v>
      </c>
      <c r="C343" s="54" t="str">
        <v>长度3米</v>
      </c>
      <c r="D343" s="54">
        <v>0</v>
      </c>
      <c r="E343" s="54">
        <v>0</v>
      </c>
      <c r="F343" s="54">
        <v>0</v>
      </c>
      <c r="G343" s="54">
        <v>0</v>
      </c>
      <c r="H343" s="54">
        <v>16</v>
      </c>
      <c r="I343" s="54">
        <v>0.13</v>
      </c>
      <c r="J343" s="54">
        <v>150</v>
      </c>
      <c r="K343" s="54">
        <v>2400</v>
      </c>
      <c r="L343" s="54" t="str">
        <v>申宝</v>
      </c>
      <c r="M343" s="80" t="str">
        <v>增加一米，价格加60；2025.12.10，无预付款，货到现场一个月付至到货款的95%，（六个月商业银行承兑汇票），结算金额5%，质保两年，无息支付</v>
      </c>
    </row>
    <row r="344" ht="84" spans="1:13">
      <c r="A344" s="54">
        <v>0</v>
      </c>
      <c r="B344" s="54" t="str">
        <v>控制柜</v>
      </c>
      <c r="C344" s="54" t="str">
        <v>SBKP-2ACL-3</v>
      </c>
      <c r="D344" s="54">
        <v>0</v>
      </c>
      <c r="E344" s="54">
        <v>0</v>
      </c>
      <c r="F344" s="54">
        <v>0</v>
      </c>
      <c r="G344" s="54">
        <v>0</v>
      </c>
      <c r="H344" s="54">
        <v>8</v>
      </c>
      <c r="I344" s="54">
        <v>0.13</v>
      </c>
      <c r="J344" s="54">
        <v>1250</v>
      </c>
      <c r="K344" s="54">
        <v>10000</v>
      </c>
      <c r="L344" s="54" t="str">
        <v>申宝</v>
      </c>
      <c r="M344" s="80" t="str">
        <v>一控二；自动交替带BA接口：只监不控
(运行、停止、故障)/带高液位报警，
不含浮球，断路器：施耐德，接触器，
继电器：正泰；二个施耐德断路器；2025.12.10，无预付款，货到现场一个月付至到货款的95%，（六个月商业银行承兑汇票），结算金额5%，质保两年，无息支付</v>
      </c>
    </row>
    <row r="345" ht="42" spans="1:13">
      <c r="A345" s="54">
        <v>11</v>
      </c>
      <c r="B345" s="54" t="str">
        <v>潜水排污泵</v>
      </c>
      <c r="C345" s="54" t="str">
        <v>50WQ25-20-3</v>
      </c>
      <c r="D345" s="54">
        <v>25</v>
      </c>
      <c r="E345" s="54">
        <v>20</v>
      </c>
      <c r="F345" s="54">
        <v>0</v>
      </c>
      <c r="G345" s="54">
        <v>3</v>
      </c>
      <c r="H345" s="54">
        <v>10</v>
      </c>
      <c r="I345" s="54">
        <v>0.13</v>
      </c>
      <c r="J345" s="54">
        <v>1300</v>
      </c>
      <c r="K345" s="54">
        <v>13000</v>
      </c>
      <c r="L345" s="54" t="str">
        <v>申宝</v>
      </c>
      <c r="M345" s="80" t="str">
        <v>标配电缆5米；增加一米，价格加15；2025.12.10，无预付款，货到现场一个月付至到货款的95%，（六个月商业银行承兑汇票），结算金额5%，质保两年，无息支付</v>
      </c>
    </row>
    <row r="346" ht="42" spans="1:13">
      <c r="A346" s="54">
        <v>0</v>
      </c>
      <c r="B346" s="54" t="str">
        <v>自耦</v>
      </c>
      <c r="C346" s="54" t="str">
        <v>GAK-50</v>
      </c>
      <c r="D346" s="54">
        <v>0</v>
      </c>
      <c r="E346" s="54">
        <v>0</v>
      </c>
      <c r="F346" s="54">
        <v>0</v>
      </c>
      <c r="G346" s="54">
        <v>0</v>
      </c>
      <c r="H346" s="54">
        <v>10</v>
      </c>
      <c r="I346" s="54">
        <v>0.13</v>
      </c>
      <c r="J346" s="54">
        <v>200</v>
      </c>
      <c r="K346" s="54">
        <v>2000</v>
      </c>
      <c r="L346" s="54" t="str">
        <v>申宝</v>
      </c>
      <c r="M346" s="80" t="str">
        <v>2025.12.10，无预付款，货到现场一个月付至到货款的95%，（六个月商业银行承兑汇票），结算金额5%，质保两年，无息支付</v>
      </c>
    </row>
    <row r="347" ht="42" spans="1:13">
      <c r="A347" s="54">
        <v>0</v>
      </c>
      <c r="B347" s="54" t="str">
        <v>不锈钢导杆</v>
      </c>
      <c r="C347" s="54" t="str">
        <v>单根长度2米(2根一套)</v>
      </c>
      <c r="D347" s="54">
        <v>0</v>
      </c>
      <c r="E347" s="54">
        <v>0</v>
      </c>
      <c r="F347" s="54">
        <v>0</v>
      </c>
      <c r="G347" s="54">
        <v>0</v>
      </c>
      <c r="H347" s="54">
        <v>10</v>
      </c>
      <c r="I347" s="54">
        <v>0.13</v>
      </c>
      <c r="J347" s="54">
        <v>450</v>
      </c>
      <c r="K347" s="54">
        <v>4500</v>
      </c>
      <c r="L347" s="54" t="str">
        <v>申宝</v>
      </c>
      <c r="M347" s="80" t="str">
        <v>增加一米，价格加240；2025.12.10，无预付款，货到现场一个月付至到货款的95%，（六个月商业银行承兑汇票），结算金额5%，质保两年，无息支付</v>
      </c>
    </row>
    <row r="348" ht="42" spans="1:13">
      <c r="A348" s="54">
        <v>0</v>
      </c>
      <c r="B348" s="54" t="str">
        <v>不锈钢链条</v>
      </c>
      <c r="C348" s="54" t="str">
        <v>长度3米</v>
      </c>
      <c r="D348" s="54">
        <v>0</v>
      </c>
      <c r="E348" s="54">
        <v>0</v>
      </c>
      <c r="F348" s="54">
        <v>0</v>
      </c>
      <c r="G348" s="54">
        <v>0</v>
      </c>
      <c r="H348" s="54">
        <v>10</v>
      </c>
      <c r="I348" s="54">
        <v>0.13</v>
      </c>
      <c r="J348" s="54">
        <v>150</v>
      </c>
      <c r="K348" s="54">
        <v>1500</v>
      </c>
      <c r="L348" s="54" t="str">
        <v>申宝</v>
      </c>
      <c r="M348" s="80" t="str">
        <v>增加一米，价格加602025.12.10，无预付款，货到现场一个月付至到货款的95%，（六个月商业银行承兑汇票），结算金额5%，质保两年，无息支付</v>
      </c>
    </row>
    <row r="349" ht="84" spans="1:13">
      <c r="A349" s="54">
        <v>0</v>
      </c>
      <c r="B349" s="54" t="str">
        <v>控制柜</v>
      </c>
      <c r="C349" s="54" t="str">
        <v>SBKP-2ACL-3</v>
      </c>
      <c r="D349" s="54">
        <v>0</v>
      </c>
      <c r="E349" s="54">
        <v>0</v>
      </c>
      <c r="F349" s="54">
        <v>0</v>
      </c>
      <c r="G349" s="54">
        <v>0</v>
      </c>
      <c r="H349" s="54">
        <v>5</v>
      </c>
      <c r="I349" s="54">
        <v>0.13</v>
      </c>
      <c r="J349" s="54">
        <v>1250</v>
      </c>
      <c r="K349" s="54">
        <v>6250</v>
      </c>
      <c r="L349" s="54" t="str">
        <v>申宝</v>
      </c>
      <c r="M349" s="80" t="str">
        <v>一控二；自动交替带BA接口：只监不控
(运行、停止、故障)/带高液位报警，
不含浮球，断路器：施耐德，接触器，
继电器：正泰；二个施耐德断路器；2025.12.10，无预付款，货到现场一个月付至到货款的95%，（六个月商业银行承兑汇票），结算金额5%，质保两年，无息支付</v>
      </c>
    </row>
    <row r="350" ht="42" spans="1:13">
      <c r="A350" s="54">
        <v>12</v>
      </c>
      <c r="B350" s="54" t="str">
        <v>潜水排污泵</v>
      </c>
      <c r="C350" s="54" t="str">
        <v>50WQ25-15-2.2</v>
      </c>
      <c r="D350" s="54">
        <v>25</v>
      </c>
      <c r="E350" s="54">
        <v>15</v>
      </c>
      <c r="F350" s="54">
        <v>0</v>
      </c>
      <c r="G350" s="54">
        <v>2.2</v>
      </c>
      <c r="H350" s="54">
        <v>2</v>
      </c>
      <c r="I350" s="54">
        <v>0.13</v>
      </c>
      <c r="J350" s="54">
        <v>1200</v>
      </c>
      <c r="K350" s="54">
        <v>2400</v>
      </c>
      <c r="L350" s="54" t="str">
        <v>申宝</v>
      </c>
      <c r="M350" s="80" t="str">
        <v>标配电缆5米增加一米，价格加15；2025.12.10，无预付款，货到现场一个月付至到货款的95%，（六个月商业银行承兑汇票），结算金额5%，质保两年，无息支付</v>
      </c>
    </row>
    <row r="351" ht="42" spans="1:13">
      <c r="A351" s="54">
        <v>0</v>
      </c>
      <c r="B351" s="54" t="str">
        <v>自耦</v>
      </c>
      <c r="C351" s="54" t="str">
        <v>GAK-50</v>
      </c>
      <c r="D351" s="54">
        <v>0</v>
      </c>
      <c r="E351" s="54">
        <v>0</v>
      </c>
      <c r="F351" s="54">
        <v>0</v>
      </c>
      <c r="G351" s="54">
        <v>0</v>
      </c>
      <c r="H351" s="54">
        <v>2</v>
      </c>
      <c r="I351" s="54">
        <v>0.13</v>
      </c>
      <c r="J351" s="54">
        <v>200</v>
      </c>
      <c r="K351" s="54">
        <v>400</v>
      </c>
      <c r="L351" s="54" t="str">
        <v>申宝</v>
      </c>
      <c r="M351" s="80" t="str">
        <v>2025.12.10，无预付款，货到现场一个月付至到货款的95%，（六个月商业银行承兑汇票），结算金额5%，质保两年，无息支付</v>
      </c>
    </row>
    <row r="352" ht="42" spans="1:13">
      <c r="A352" s="54">
        <v>0</v>
      </c>
      <c r="B352" s="54" t="str">
        <v>不锈钢导杆</v>
      </c>
      <c r="C352" s="54" t="str">
        <v>单根长度2米(2根一套)</v>
      </c>
      <c r="D352" s="54">
        <v>0</v>
      </c>
      <c r="E352" s="54">
        <v>0</v>
      </c>
      <c r="F352" s="54">
        <v>0</v>
      </c>
      <c r="G352" s="54">
        <v>0</v>
      </c>
      <c r="H352" s="54">
        <v>2</v>
      </c>
      <c r="I352" s="54">
        <v>0.13</v>
      </c>
      <c r="J352" s="54">
        <v>450</v>
      </c>
      <c r="K352" s="54">
        <v>900</v>
      </c>
      <c r="L352" s="54" t="str">
        <v>申宝</v>
      </c>
      <c r="M352" s="80" t="str">
        <v>增加一米，价格加240；2025.12.10，无预付款，货到现场一个月付至到货款的95%，（六个月商业银行承兑汇票），结算金额5%，质保两年，无息支付</v>
      </c>
    </row>
    <row r="353" ht="42" spans="1:13">
      <c r="A353" s="54">
        <v>0</v>
      </c>
      <c r="B353" s="54" t="str">
        <v>不锈钢链条</v>
      </c>
      <c r="C353" s="54" t="str">
        <v>长度3米</v>
      </c>
      <c r="D353" s="54">
        <v>0</v>
      </c>
      <c r="E353" s="54">
        <v>0</v>
      </c>
      <c r="F353" s="54">
        <v>0</v>
      </c>
      <c r="G353" s="54">
        <v>0</v>
      </c>
      <c r="H353" s="54">
        <v>2</v>
      </c>
      <c r="I353" s="54">
        <v>0.13</v>
      </c>
      <c r="J353" s="54">
        <v>150</v>
      </c>
      <c r="K353" s="54">
        <v>300</v>
      </c>
      <c r="L353" s="54" t="str">
        <v>申宝</v>
      </c>
      <c r="M353" s="80" t="str">
        <v>增加一米，价格加602025.12.10，无预付款，货到现场一个月付至到货款的95%，（六个月商业银行承兑汇票），结算金额5%，质保两年，无息支付</v>
      </c>
    </row>
    <row r="354" ht="84" spans="1:13">
      <c r="A354" s="54">
        <v>0</v>
      </c>
      <c r="B354" s="54" t="str">
        <v>控制柜</v>
      </c>
      <c r="C354" s="54" t="str">
        <v>SBKP-2ACL-2.2</v>
      </c>
      <c r="D354" s="54">
        <v>0</v>
      </c>
      <c r="E354" s="54">
        <v>0</v>
      </c>
      <c r="F354" s="54">
        <v>0</v>
      </c>
      <c r="G354" s="54">
        <v>0</v>
      </c>
      <c r="H354" s="54">
        <v>1</v>
      </c>
      <c r="I354" s="54">
        <v>0.13</v>
      </c>
      <c r="J354" s="54">
        <v>1250</v>
      </c>
      <c r="K354" s="54">
        <v>1250</v>
      </c>
      <c r="L354" s="54" t="str">
        <v>申宝</v>
      </c>
      <c r="M354" s="80" t="str">
        <v>一控二；自动交替带BA接口：只监不控
(运行、停止、故障)/带高液位报警，
不含浮球，断路器：施耐德，接触器，
继电器：正泰；二个施耐德断路器；2025.12.10，无预付款，货到现场一个月付至到货款的95%，（六个月商业银行承兑汇票），结算金额5%，质保两年，无息支付</v>
      </c>
    </row>
    <row r="355" ht="42" spans="1:13">
      <c r="A355" s="54">
        <v>13</v>
      </c>
      <c r="B355" s="54" t="str">
        <v>潜水排污泵</v>
      </c>
      <c r="C355" s="54" t="str">
        <v>50WQ25-15-2.2</v>
      </c>
      <c r="D355" s="54">
        <v>20</v>
      </c>
      <c r="E355" s="54">
        <v>20</v>
      </c>
      <c r="F355" s="54">
        <v>0</v>
      </c>
      <c r="G355" s="54">
        <v>2.2</v>
      </c>
      <c r="H355" s="54">
        <v>8</v>
      </c>
      <c r="I355" s="54">
        <v>0.13</v>
      </c>
      <c r="J355" s="54">
        <v>1200</v>
      </c>
      <c r="K355" s="54">
        <v>9600</v>
      </c>
      <c r="L355" s="54" t="str">
        <v>申宝</v>
      </c>
      <c r="M355" s="80" t="str">
        <v>标配电缆5米；增加一米，价格加15；2025.12.10，无预付款，货到现场一个月付至到货款的95%，（六个月商业银行承兑汇票），结算金额5%，质保两年，无息支付</v>
      </c>
    </row>
    <row r="356" ht="42" spans="1:13">
      <c r="A356" s="54">
        <v>0</v>
      </c>
      <c r="B356" s="54" t="str">
        <v>自耦</v>
      </c>
      <c r="C356" s="54" t="str">
        <v>GAK-50</v>
      </c>
      <c r="D356" s="54">
        <v>0</v>
      </c>
      <c r="E356" s="54">
        <v>0</v>
      </c>
      <c r="F356" s="54">
        <v>0</v>
      </c>
      <c r="G356" s="54">
        <v>0</v>
      </c>
      <c r="H356" s="54">
        <v>8</v>
      </c>
      <c r="I356" s="54">
        <v>0.13</v>
      </c>
      <c r="J356" s="54">
        <v>200</v>
      </c>
      <c r="K356" s="54">
        <v>1600</v>
      </c>
      <c r="L356" s="54" t="str">
        <v>申宝</v>
      </c>
      <c r="M356" s="80" t="str">
        <v>2025.12.10，无预付款，货到现场一个月付至到货款的95%，（六个月商业银行承兑汇票），结算金额5%，质保两年，无息支付</v>
      </c>
    </row>
    <row r="357" ht="42" spans="1:13">
      <c r="A357" s="54">
        <v>0</v>
      </c>
      <c r="B357" s="54" t="str">
        <v>不锈钢导杆</v>
      </c>
      <c r="C357" s="54" t="str">
        <v>单根长度2米(2根一套)</v>
      </c>
      <c r="D357" s="54">
        <v>0</v>
      </c>
      <c r="E357" s="54">
        <v>0</v>
      </c>
      <c r="F357" s="54">
        <v>0</v>
      </c>
      <c r="G357" s="54">
        <v>0</v>
      </c>
      <c r="H357" s="54">
        <v>8</v>
      </c>
      <c r="I357" s="54">
        <v>0.13</v>
      </c>
      <c r="J357" s="54">
        <v>450</v>
      </c>
      <c r="K357" s="54">
        <v>3600</v>
      </c>
      <c r="L357" s="54" t="str">
        <v>申宝</v>
      </c>
      <c r="M357" s="80" t="str">
        <v>增加一米，价格加240；2025.12.10，无预付款，货到现场一个月付至到货款的95%，（六个月商业银行承兑汇票），结算金额5%，质保两年，无息支付</v>
      </c>
    </row>
    <row r="358" ht="42" spans="1:13">
      <c r="A358" s="54">
        <v>0</v>
      </c>
      <c r="B358" s="54" t="str">
        <v>不锈钢链条</v>
      </c>
      <c r="C358" s="54" t="str">
        <v>长度3米</v>
      </c>
      <c r="D358" s="54">
        <v>0</v>
      </c>
      <c r="E358" s="54">
        <v>0</v>
      </c>
      <c r="F358" s="54">
        <v>0</v>
      </c>
      <c r="G358" s="54">
        <v>0</v>
      </c>
      <c r="H358" s="54">
        <v>8</v>
      </c>
      <c r="I358" s="54">
        <v>0.13</v>
      </c>
      <c r="J358" s="54">
        <v>150</v>
      </c>
      <c r="K358" s="54">
        <v>1200</v>
      </c>
      <c r="L358" s="54" t="str">
        <v>申宝</v>
      </c>
      <c r="M358" s="80" t="str">
        <v>增加一米，价格加602025.12.10，无预付款，货到现场一个月付至到货款的95%，（六个月商业银行承兑汇票），结算金额5%，质保两年，无息支付</v>
      </c>
    </row>
    <row r="359" ht="84" spans="1:13">
      <c r="A359" s="54">
        <v>0</v>
      </c>
      <c r="B359" s="54" t="str">
        <v>控制柜</v>
      </c>
      <c r="C359" s="54" t="str">
        <v>SBKP-2ACL-2.2</v>
      </c>
      <c r="D359" s="54">
        <v>0</v>
      </c>
      <c r="E359" s="54">
        <v>0</v>
      </c>
      <c r="F359" s="54">
        <v>0</v>
      </c>
      <c r="G359" s="54">
        <v>0</v>
      </c>
      <c r="H359" s="54">
        <v>4</v>
      </c>
      <c r="I359" s="54">
        <v>0.13</v>
      </c>
      <c r="J359" s="54">
        <v>1250</v>
      </c>
      <c r="K359" s="54">
        <v>5000</v>
      </c>
      <c r="L359" s="54" t="str">
        <v>申宝</v>
      </c>
      <c r="M359" s="80" t="str">
        <v>一控二；自动交替带BA接口：只监不控
(运行、停止、故障)/带高液位报警，
不含浮球，断路器：施耐德，接触器，
继电器：正泰；二个施耐德断路器；2025.12.10，无预付款，货到现场一个月付至到货款的95%，（六个月商业银行承兑汇票），结算金额5%，质保两年，无息支付</v>
      </c>
    </row>
    <row r="360" ht="42" spans="1:13">
      <c r="A360" s="54">
        <v>14</v>
      </c>
      <c r="B360" s="54" t="str">
        <v>潜水排污泵</v>
      </c>
      <c r="C360" s="54" t="str">
        <v>50WQ15-20-2.2</v>
      </c>
      <c r="D360" s="54">
        <v>15</v>
      </c>
      <c r="E360" s="54">
        <v>20</v>
      </c>
      <c r="F360" s="54">
        <v>0</v>
      </c>
      <c r="G360" s="54">
        <v>2.2</v>
      </c>
      <c r="H360" s="54">
        <v>1</v>
      </c>
      <c r="I360" s="54">
        <v>0.13</v>
      </c>
      <c r="J360" s="54">
        <v>1200</v>
      </c>
      <c r="K360" s="54">
        <v>1200</v>
      </c>
      <c r="L360" s="54" t="str">
        <v>申宝</v>
      </c>
      <c r="M360" s="80" t="str">
        <v>标配电缆5米；增加一米，价格加15；2025.12.10，无预付款，货到现场一个月付至到货款的95%，（六个月商业银行承兑汇票），结算金额5%，质保两年，无息支付</v>
      </c>
    </row>
    <row r="361" ht="42" spans="1:13">
      <c r="A361" s="54">
        <v>0</v>
      </c>
      <c r="B361" s="54" t="str">
        <v>自耦</v>
      </c>
      <c r="C361" s="54" t="str">
        <v>GAK-50</v>
      </c>
      <c r="D361" s="54">
        <v>0</v>
      </c>
      <c r="E361" s="54">
        <v>0</v>
      </c>
      <c r="F361" s="54">
        <v>0</v>
      </c>
      <c r="G361" s="54">
        <v>0</v>
      </c>
      <c r="H361" s="54">
        <v>1</v>
      </c>
      <c r="I361" s="54">
        <v>0.13</v>
      </c>
      <c r="J361" s="54">
        <v>200</v>
      </c>
      <c r="K361" s="54">
        <v>200</v>
      </c>
      <c r="L361" s="54" t="str">
        <v>申宝</v>
      </c>
      <c r="M361" s="80" t="str">
        <v>2025.12.10，无预付款，货到现场一个月付至到货款的95%，（六个月商业银行承兑汇票），结算金额5%，质保两年，无息支付</v>
      </c>
    </row>
    <row r="362" ht="42" spans="1:13">
      <c r="A362" s="54">
        <v>0</v>
      </c>
      <c r="B362" s="54" t="str">
        <v>不锈钢导杆</v>
      </c>
      <c r="C362" s="54" t="str">
        <v>单根长度2米(2根一套)</v>
      </c>
      <c r="D362" s="54">
        <v>0</v>
      </c>
      <c r="E362" s="54">
        <v>0</v>
      </c>
      <c r="F362" s="54">
        <v>0</v>
      </c>
      <c r="G362" s="54">
        <v>0</v>
      </c>
      <c r="H362" s="54">
        <v>1</v>
      </c>
      <c r="I362" s="54">
        <v>0.13</v>
      </c>
      <c r="J362" s="54">
        <v>450</v>
      </c>
      <c r="K362" s="54">
        <v>450</v>
      </c>
      <c r="L362" s="54" t="str">
        <v>申宝</v>
      </c>
      <c r="M362" s="80" t="str">
        <v>增加一米，价格加240；2025.12.10，无预付款，货到现场一个月付至到货款的95%，（六个月商业银行承兑汇票），结算金额5%，质保两年，无息支付</v>
      </c>
    </row>
    <row r="363" ht="42" spans="1:13">
      <c r="A363" s="54">
        <v>0</v>
      </c>
      <c r="B363" s="54" t="str">
        <v>不锈钢链条</v>
      </c>
      <c r="C363" s="54" t="str">
        <v>长度3米</v>
      </c>
      <c r="D363" s="54">
        <v>0</v>
      </c>
      <c r="E363" s="54">
        <v>0</v>
      </c>
      <c r="F363" s="54">
        <v>0</v>
      </c>
      <c r="G363" s="54">
        <v>0</v>
      </c>
      <c r="H363" s="54">
        <v>1</v>
      </c>
      <c r="I363" s="54">
        <v>0.13</v>
      </c>
      <c r="J363" s="54">
        <v>150</v>
      </c>
      <c r="K363" s="54">
        <v>150</v>
      </c>
      <c r="L363" s="54" t="str">
        <v>申宝</v>
      </c>
      <c r="M363" s="80" t="str">
        <v>增加一米，价格加602025.12.10，无预付款，货到现场一个月付至到货款的95%，（六个月商业银行承兑汇票），结算金额5%，质保两年，无息支付</v>
      </c>
    </row>
    <row r="364" ht="84" spans="1:13">
      <c r="A364" s="54">
        <v>0</v>
      </c>
      <c r="B364" s="54" t="str">
        <v>控制柜</v>
      </c>
      <c r="C364" s="54" t="str">
        <v>SBKP-1L-2.2</v>
      </c>
      <c r="D364" s="54">
        <v>0</v>
      </c>
      <c r="E364" s="54">
        <v>0</v>
      </c>
      <c r="F364" s="54">
        <v>0</v>
      </c>
      <c r="G364" s="54">
        <v>0</v>
      </c>
      <c r="H364" s="54">
        <v>1</v>
      </c>
      <c r="I364" s="54">
        <v>0.13</v>
      </c>
      <c r="J364" s="54">
        <v>900</v>
      </c>
      <c r="K364" s="54">
        <v>900</v>
      </c>
      <c r="L364" s="54" t="str">
        <v>申宝</v>
      </c>
      <c r="M364" s="80" t="str">
        <v>一控二；自动交替带BA接口：只监不控
(运行、停止、故障)/带高液位报警，
不含浮球，断路器：施耐德，接触器，
继电器：正泰；二个施耐德断路器；2025.12.10，无预付款，货到现场一个月付至到货款的95%，（六个月商业银行承兑汇票），结算金额5%，质保两年，无息支付</v>
      </c>
    </row>
    <row r="365" ht="42" spans="1:13">
      <c r="A365" s="54">
        <v>15</v>
      </c>
      <c r="B365" s="54" t="str">
        <v>潜水排污泵</v>
      </c>
      <c r="C365" s="54" t="str">
        <v>50WQ10-30-4</v>
      </c>
      <c r="D365" s="54">
        <v>10</v>
      </c>
      <c r="E365" s="54">
        <v>30</v>
      </c>
      <c r="F365" s="54">
        <v>0</v>
      </c>
      <c r="G365" s="54">
        <v>4</v>
      </c>
      <c r="H365" s="54">
        <v>2</v>
      </c>
      <c r="I365" s="54">
        <v>0.13</v>
      </c>
      <c r="J365" s="54">
        <v>1650</v>
      </c>
      <c r="K365" s="54">
        <v>3300</v>
      </c>
      <c r="L365" s="54" t="str">
        <v>申宝</v>
      </c>
      <c r="M365" s="80" t="str">
        <v>标配电缆5米；增加一米，价格加15；2025.12.10，无预付款，货到现场一个月付至到货款的95%，（六个月商业银行承兑汇票），结算金额5%，质保两年，无息支付</v>
      </c>
    </row>
    <row r="366" ht="42" spans="1:13">
      <c r="A366" s="54">
        <v>0</v>
      </c>
      <c r="B366" s="54" t="str">
        <v>自耦</v>
      </c>
      <c r="C366" s="54" t="str">
        <v>GAK-50</v>
      </c>
      <c r="D366" s="54">
        <v>0</v>
      </c>
      <c r="E366" s="54">
        <v>0</v>
      </c>
      <c r="F366" s="54">
        <v>0</v>
      </c>
      <c r="G366" s="54">
        <v>0</v>
      </c>
      <c r="H366" s="54">
        <v>2</v>
      </c>
      <c r="I366" s="54">
        <v>0.13</v>
      </c>
      <c r="J366" s="54">
        <v>200</v>
      </c>
      <c r="K366" s="54">
        <v>400</v>
      </c>
      <c r="L366" s="54" t="str">
        <v>申宝</v>
      </c>
      <c r="M366" s="80" t="str">
        <v>2025.12.10，无预付款，货到现场一个月付至到货款的95%，（六个月商业银行承兑汇票），结算金额5%，质保两年，无息支付</v>
      </c>
    </row>
    <row r="367" ht="42" spans="1:13">
      <c r="A367" s="54">
        <v>0</v>
      </c>
      <c r="B367" s="54" t="str">
        <v>不锈钢导杆</v>
      </c>
      <c r="C367" s="54" t="str">
        <v>单根长度2米(2根一套)</v>
      </c>
      <c r="D367" s="54">
        <v>0</v>
      </c>
      <c r="E367" s="54">
        <v>0</v>
      </c>
      <c r="F367" s="54">
        <v>0</v>
      </c>
      <c r="G367" s="54">
        <v>0</v>
      </c>
      <c r="H367" s="54">
        <v>2</v>
      </c>
      <c r="I367" s="54">
        <v>0.13</v>
      </c>
      <c r="J367" s="54">
        <v>450</v>
      </c>
      <c r="K367" s="54">
        <v>900</v>
      </c>
      <c r="L367" s="54" t="str">
        <v>申宝</v>
      </c>
      <c r="M367" s="80" t="str">
        <v>增加一米，价格加240；2025.12.10，无预付款，货到现场一个月付至到货款的95%，（六个月商业银行承兑汇票），结算金额5%，质保两年，无息支付</v>
      </c>
    </row>
    <row r="368" ht="42" spans="1:13">
      <c r="A368" s="54">
        <v>0</v>
      </c>
      <c r="B368" s="54" t="str">
        <v>不锈钢链条</v>
      </c>
      <c r="C368" s="54" t="str">
        <v>长度3米</v>
      </c>
      <c r="D368" s="54">
        <v>0</v>
      </c>
      <c r="E368" s="54">
        <v>0</v>
      </c>
      <c r="F368" s="54">
        <v>0</v>
      </c>
      <c r="G368" s="54">
        <v>0</v>
      </c>
      <c r="H368" s="54">
        <v>2</v>
      </c>
      <c r="I368" s="54">
        <v>0.13</v>
      </c>
      <c r="J368" s="54">
        <v>150</v>
      </c>
      <c r="K368" s="54">
        <v>300</v>
      </c>
      <c r="L368" s="54" t="str">
        <v>申宝</v>
      </c>
      <c r="M368" s="80" t="str">
        <v>增加一米，价格加602025.12.10，无预付款，货到现场一个月付至到货款的95%，（六个月商业银行承兑汇票），结算金额5%，质保两年，无息支付</v>
      </c>
    </row>
    <row r="369" ht="84" spans="1:13">
      <c r="A369" s="54">
        <v>0</v>
      </c>
      <c r="B369" s="54" t="str">
        <v>控制柜</v>
      </c>
      <c r="C369" s="54" t="str">
        <v>SBKP-2ACL-4</v>
      </c>
      <c r="D369" s="54">
        <v>0</v>
      </c>
      <c r="E369" s="54">
        <v>0</v>
      </c>
      <c r="F369" s="54">
        <v>0</v>
      </c>
      <c r="G369" s="54">
        <v>0</v>
      </c>
      <c r="H369" s="54">
        <v>1</v>
      </c>
      <c r="I369" s="54">
        <v>0.13</v>
      </c>
      <c r="J369" s="54">
        <v>1250</v>
      </c>
      <c r="K369" s="54">
        <v>1250</v>
      </c>
      <c r="L369" s="54" t="str">
        <v>申宝</v>
      </c>
      <c r="M369" s="80" t="str">
        <v>一控二；自动交替带BA接口：只监不控
(运行、停止、故障)/带高液位报警，
不含浮球，断路器：施耐德，接触器，
继电器：正泰；二个施耐德断路器；2025.12.10，无预付款，货到现场一个月付至到货款的95%，（六个月商业银行承兑汇票），结算金额5%，质保两年，无息支付</v>
      </c>
    </row>
    <row r="370" ht="42" spans="1:13">
      <c r="A370" s="54">
        <v>16</v>
      </c>
      <c r="B370" s="54" t="str">
        <v>潜水排污泵</v>
      </c>
      <c r="C370" s="54" t="str">
        <v>50WQ10-20-2.2</v>
      </c>
      <c r="D370" s="54">
        <v>10</v>
      </c>
      <c r="E370" s="54">
        <v>20</v>
      </c>
      <c r="F370" s="54">
        <v>0</v>
      </c>
      <c r="G370" s="54">
        <v>2.2</v>
      </c>
      <c r="H370" s="54">
        <v>18</v>
      </c>
      <c r="I370" s="54">
        <v>0.13</v>
      </c>
      <c r="J370" s="54">
        <v>1200</v>
      </c>
      <c r="K370" s="54">
        <v>21600</v>
      </c>
      <c r="L370" s="54" t="str">
        <v>申宝</v>
      </c>
      <c r="M370" s="80" t="str">
        <v>标配电缆5米；增加一米，价格加15；2025.12.10，无预付款，货到现场一个月付至到货款的95%，（六个月商业银行承兑汇票），结算金额5%，质保两年，无息支付</v>
      </c>
    </row>
    <row r="371" ht="42" spans="1:13">
      <c r="A371" s="54">
        <v>0</v>
      </c>
      <c r="B371" s="54" t="str">
        <v>自耦</v>
      </c>
      <c r="C371" s="54" t="str">
        <v>GAK-50</v>
      </c>
      <c r="D371" s="54">
        <v>0</v>
      </c>
      <c r="E371" s="54">
        <v>0</v>
      </c>
      <c r="F371" s="54">
        <v>0</v>
      </c>
      <c r="G371" s="54">
        <v>0</v>
      </c>
      <c r="H371" s="54">
        <v>18</v>
      </c>
      <c r="I371" s="54">
        <v>0.13</v>
      </c>
      <c r="J371" s="54">
        <v>200</v>
      </c>
      <c r="K371" s="54">
        <v>3600</v>
      </c>
      <c r="L371" s="54" t="str">
        <v>申宝</v>
      </c>
      <c r="M371" s="80" t="str">
        <v>2025.12.10，无预付款，货到现场一个月付至到货款的95%，（六个月商业银行承兑汇票），结算金额5%，质保两年，无息支付</v>
      </c>
    </row>
    <row r="372" ht="42" spans="1:13">
      <c r="A372" s="54">
        <v>0</v>
      </c>
      <c r="B372" s="54" t="str">
        <v>不锈钢导杆</v>
      </c>
      <c r="C372" s="54" t="str">
        <v>单根长度2米(2根一套)</v>
      </c>
      <c r="D372" s="54">
        <v>0</v>
      </c>
      <c r="E372" s="54">
        <v>0</v>
      </c>
      <c r="F372" s="54">
        <v>0</v>
      </c>
      <c r="G372" s="54">
        <v>0</v>
      </c>
      <c r="H372" s="54">
        <v>18</v>
      </c>
      <c r="I372" s="54">
        <v>0.13</v>
      </c>
      <c r="J372" s="54">
        <v>450</v>
      </c>
      <c r="K372" s="54">
        <v>8100</v>
      </c>
      <c r="L372" s="54" t="str">
        <v>申宝</v>
      </c>
      <c r="M372" s="80" t="str">
        <v>增加一米，价格加240；2025.12.10，无预付款，货到现场一个月付至到货款的95%，（六个月商业银行承兑汇票），结算金额5%，质保两年，无息支付</v>
      </c>
    </row>
    <row r="373" ht="42" spans="1:13">
      <c r="A373" s="54">
        <v>0</v>
      </c>
      <c r="B373" s="54" t="str">
        <v>不锈钢链条</v>
      </c>
      <c r="C373" s="54" t="str">
        <v>长度3米</v>
      </c>
      <c r="D373" s="54">
        <v>0</v>
      </c>
      <c r="E373" s="54">
        <v>0</v>
      </c>
      <c r="F373" s="54">
        <v>0</v>
      </c>
      <c r="G373" s="54">
        <v>0</v>
      </c>
      <c r="H373" s="54">
        <v>18</v>
      </c>
      <c r="I373" s="54">
        <v>0.13</v>
      </c>
      <c r="J373" s="54">
        <v>200</v>
      </c>
      <c r="K373" s="54">
        <v>3600</v>
      </c>
      <c r="L373" s="54" t="str">
        <v>申宝</v>
      </c>
      <c r="M373" s="80" t="str">
        <v>增加一米，价格加602025.12.10，无预付款，货到现场一个月付至到货款的95%，（六个月商业银行承兑汇票），结算金额5%，质保两年，无息支付</v>
      </c>
    </row>
    <row r="374" ht="84" spans="1:13">
      <c r="A374" s="54">
        <v>0</v>
      </c>
      <c r="B374" s="54" t="str">
        <v>控制柜</v>
      </c>
      <c r="C374" s="54" t="str">
        <v>SBKP-2ACL-2.2</v>
      </c>
      <c r="D374" s="54">
        <v>0</v>
      </c>
      <c r="E374" s="54">
        <v>0</v>
      </c>
      <c r="F374" s="54">
        <v>0</v>
      </c>
      <c r="G374" s="54">
        <v>0</v>
      </c>
      <c r="H374" s="54">
        <v>9</v>
      </c>
      <c r="I374" s="54">
        <v>0.13</v>
      </c>
      <c r="J374" s="54">
        <v>1250</v>
      </c>
      <c r="K374" s="54">
        <v>11250</v>
      </c>
      <c r="L374" s="54" t="str">
        <v>申宝</v>
      </c>
      <c r="M374" s="80" t="str">
        <v>一控二；自动交替带BA接口：只监不控
(运行、停止、故障)/带高液位报警，
不含浮球，断路器：施耐德，接触器，
继电器：正泰；二个施耐德断路器；2025.12.10，无预付款，货到现场一个月付至到货款的95%，（六个月商业银行承兑汇票），结算金额5%，质保两年，无息支付</v>
      </c>
    </row>
    <row r="375" ht="42" spans="1:13">
      <c r="A375" s="54">
        <v>17</v>
      </c>
      <c r="B375" s="54" t="str">
        <v>卫生间一体化提升装置</v>
      </c>
      <c r="C375" s="54">
        <v>0</v>
      </c>
      <c r="D375" s="54">
        <v>0</v>
      </c>
      <c r="E375" s="54">
        <v>0</v>
      </c>
      <c r="F375" s="54">
        <v>0</v>
      </c>
      <c r="G375" s="54">
        <v>0</v>
      </c>
      <c r="H375" s="54">
        <v>9</v>
      </c>
      <c r="I375" s="54">
        <v>0.13</v>
      </c>
      <c r="J375" s="54">
        <v>0</v>
      </c>
      <c r="K375" s="54">
        <v>0</v>
      </c>
      <c r="L375" s="54" t="str">
        <v>申宝</v>
      </c>
      <c r="M375" s="80" t="str">
        <v>2025.12.10，无预付款，货到现场一个月付至到货款的95%，（六个月商业银行承兑汇票），结算金额5%，质保两年，无息支付</v>
      </c>
    </row>
    <row r="376" ht="42" spans="1:13">
      <c r="A376" s="54">
        <v>0</v>
      </c>
      <c r="B376" s="54" t="str">
        <v>潜水排污泵</v>
      </c>
      <c r="C376" s="54" t="str">
        <v>80WQ50-25-7.5</v>
      </c>
      <c r="D376" s="54" t="str">
        <v>15L/S</v>
      </c>
      <c r="E376" s="54">
        <v>25</v>
      </c>
      <c r="F376" s="54">
        <v>0</v>
      </c>
      <c r="G376" s="54">
        <v>7.5</v>
      </c>
      <c r="H376" s="54">
        <v>18</v>
      </c>
      <c r="I376" s="54">
        <v>0.13</v>
      </c>
      <c r="J376" s="54">
        <v>2900</v>
      </c>
      <c r="K376" s="54">
        <v>52200</v>
      </c>
      <c r="L376" s="54" t="str">
        <v>申宝</v>
      </c>
      <c r="M376" s="80" t="str">
        <v>标配电缆5米；增加一米，价格加15；2025.12.10，无预付款，货到现场一个月付至到货款的95%，（六个月商业银行承兑汇票），结算金额5%，质保两年，无息支付</v>
      </c>
    </row>
    <row r="377" ht="42" spans="1:13">
      <c r="A377" s="54">
        <v>0</v>
      </c>
      <c r="B377" s="54" t="str">
        <v>自耦</v>
      </c>
      <c r="C377" s="54" t="str">
        <v>GAK-80</v>
      </c>
      <c r="D377" s="54">
        <v>0</v>
      </c>
      <c r="E377" s="54">
        <v>0</v>
      </c>
      <c r="F377" s="54">
        <v>0</v>
      </c>
      <c r="G377" s="54">
        <v>0</v>
      </c>
      <c r="H377" s="54">
        <v>18</v>
      </c>
      <c r="I377" s="54">
        <v>0.13</v>
      </c>
      <c r="J377" s="54">
        <v>400</v>
      </c>
      <c r="K377" s="54">
        <v>7200</v>
      </c>
      <c r="L377" s="54" t="str">
        <v>申宝</v>
      </c>
      <c r="M377" s="80" t="str">
        <v>2025.12.10，无预付款，货到现场一个月付至到货款的95%，（六个月商业银行承兑汇票），结算金额5%，质保两年，无息支付</v>
      </c>
    </row>
    <row r="378" ht="42" spans="1:13">
      <c r="A378" s="54">
        <v>0</v>
      </c>
      <c r="B378" s="54" t="str">
        <v>不锈钢导杆</v>
      </c>
      <c r="C378" s="54" t="str">
        <v>单根长度1米(2根一套)</v>
      </c>
      <c r="D378" s="54">
        <v>0</v>
      </c>
      <c r="E378" s="54">
        <v>0</v>
      </c>
      <c r="F378" s="54">
        <v>0</v>
      </c>
      <c r="G378" s="54">
        <v>0</v>
      </c>
      <c r="H378" s="54">
        <v>18</v>
      </c>
      <c r="I378" s="54">
        <v>0.13</v>
      </c>
      <c r="J378" s="54">
        <v>400</v>
      </c>
      <c r="K378" s="54">
        <v>7200</v>
      </c>
      <c r="L378" s="54" t="str">
        <v>申宝</v>
      </c>
      <c r="M378" s="80" t="str">
        <v>增加一米，价格加280；2025.12.10，无预付款，货到现场一个月付至到货款的95%，（六个月商业银行承兑汇票），结算金额5%，质保两年，无息支付</v>
      </c>
    </row>
    <row r="379" ht="42" spans="1:13">
      <c r="A379" s="54">
        <v>0</v>
      </c>
      <c r="B379" s="54" t="str">
        <v>不锈钢链条</v>
      </c>
      <c r="C379" s="54" t="str">
        <v>长度1米</v>
      </c>
      <c r="D379" s="54">
        <v>0</v>
      </c>
      <c r="E379" s="54">
        <v>0</v>
      </c>
      <c r="F379" s="54">
        <v>0</v>
      </c>
      <c r="G379" s="54">
        <v>0</v>
      </c>
      <c r="H379" s="54">
        <v>18</v>
      </c>
      <c r="I379" s="54">
        <v>0.13</v>
      </c>
      <c r="J379" s="54">
        <v>60</v>
      </c>
      <c r="K379" s="54">
        <v>1080</v>
      </c>
      <c r="L379" s="54" t="str">
        <v>申宝</v>
      </c>
      <c r="M379" s="80" t="str">
        <v>增加一米，价格加602025.12.10，无预付款，货到现场一个月付至到货款的95%，（六个月商业银行承兑汇票），结算金额5%，质保两年，无息支付</v>
      </c>
    </row>
    <row r="380" ht="42" spans="1:13">
      <c r="A380" s="54">
        <v>0</v>
      </c>
      <c r="B380" s="54" t="str">
        <v>不锈钢水箱</v>
      </c>
      <c r="C380" s="54" t="str">
        <v>配置：1500*1000*1000不锈钢304水箱
一台(厚度2mm)</v>
      </c>
      <c r="D380" s="54">
        <v>0</v>
      </c>
      <c r="E380" s="54">
        <v>0</v>
      </c>
      <c r="F380" s="54">
        <v>0</v>
      </c>
      <c r="G380" s="54">
        <v>0</v>
      </c>
      <c r="H380" s="54">
        <v>9</v>
      </c>
      <c r="I380" s="54">
        <v>0.13</v>
      </c>
      <c r="J380" s="54">
        <v>8500</v>
      </c>
      <c r="K380" s="54">
        <v>76500</v>
      </c>
      <c r="L380" s="54" t="str">
        <v>申宝</v>
      </c>
      <c r="M380" s="80" t="str">
        <v>2025.12.10，无预付款，货到现场一个月付至到货款的95%，（六个月商业银行承兑汇票），结算金额5%，质保两年，无息支付</v>
      </c>
    </row>
    <row r="381" ht="84" spans="1:13">
      <c r="A381" s="54">
        <v>0</v>
      </c>
      <c r="B381" s="54" t="str">
        <v>控制柜</v>
      </c>
      <c r="C381" s="54" t="str">
        <v>SBKP-2ACL-7.5</v>
      </c>
      <c r="D381" s="54">
        <v>0</v>
      </c>
      <c r="E381" s="54">
        <v>0</v>
      </c>
      <c r="F381" s="54">
        <v>0</v>
      </c>
      <c r="G381" s="54">
        <v>0</v>
      </c>
      <c r="H381" s="54">
        <v>9</v>
      </c>
      <c r="I381" s="54">
        <v>0.13</v>
      </c>
      <c r="J381" s="54">
        <v>2500</v>
      </c>
      <c r="K381" s="54">
        <v>22500</v>
      </c>
      <c r="L381" s="54" t="str">
        <v>申宝</v>
      </c>
      <c r="M381" s="80" t="str">
        <v>一控二；自动交替带BA接口：只监不控
(运行、停止、故障)/带高液位报警，
不含浮球，断路器：施耐德，接触器，
继电器：正泰；二个施耐德断路器；2025.12.10，无预付款，货到现场一个月付至到货款的95%，（六个月商业银行承兑汇票），结算金额5%，质保两年，无息支付</v>
      </c>
    </row>
    <row r="382" ht="42" spans="1:13">
      <c r="A382" s="54">
        <v>19</v>
      </c>
      <c r="B382" s="54" t="str">
        <v>潜水排污泵</v>
      </c>
      <c r="C382" s="54" t="str">
        <v>65WQ25-36-7.5</v>
      </c>
      <c r="D382" s="54">
        <v>36</v>
      </c>
      <c r="E382" s="54">
        <v>35</v>
      </c>
      <c r="F382" s="54">
        <v>0</v>
      </c>
      <c r="G382" s="54">
        <v>7.5</v>
      </c>
      <c r="H382" s="54">
        <v>20</v>
      </c>
      <c r="I382" s="54">
        <v>0.13</v>
      </c>
      <c r="J382" s="54">
        <v>2900</v>
      </c>
      <c r="K382" s="54">
        <v>58000</v>
      </c>
      <c r="L382" s="54" t="str">
        <v>申宝</v>
      </c>
      <c r="M382" s="80" t="str">
        <v>标配电缆5米；增加一米，价格加15；2025.12.10，无预付款，货到现场一个月付至到货款的95%，（六个月商业银行承兑汇票），结算金额5%，质保两年，无息支付</v>
      </c>
    </row>
    <row r="383" ht="42" spans="1:13">
      <c r="A383" s="54">
        <v>0</v>
      </c>
      <c r="B383" s="54" t="str">
        <v>自耦</v>
      </c>
      <c r="C383" s="54" t="str">
        <v>GAK-65</v>
      </c>
      <c r="D383" s="54">
        <v>0</v>
      </c>
      <c r="E383" s="54">
        <v>0</v>
      </c>
      <c r="F383" s="54">
        <v>0</v>
      </c>
      <c r="G383" s="54">
        <v>0</v>
      </c>
      <c r="H383" s="54">
        <v>20</v>
      </c>
      <c r="I383" s="54">
        <v>0.13</v>
      </c>
      <c r="J383" s="54">
        <v>250</v>
      </c>
      <c r="K383" s="54">
        <v>5000</v>
      </c>
      <c r="L383" s="54" t="str">
        <v>申宝</v>
      </c>
      <c r="M383" s="80" t="str">
        <v>2025.12.10，无预付款，货到现场一个月付至到货款的95%，（六个月商业银行承兑汇票），结算金额5%，质保两年，无息支付</v>
      </c>
    </row>
    <row r="384" ht="42" spans="1:13">
      <c r="A384" s="54">
        <v>0</v>
      </c>
      <c r="B384" s="54" t="str">
        <v>不锈钢导杆</v>
      </c>
      <c r="C384" s="54" t="str">
        <v>单根长度2米(2根一套)</v>
      </c>
      <c r="D384" s="54">
        <v>0</v>
      </c>
      <c r="E384" s="54">
        <v>0</v>
      </c>
      <c r="F384" s="54">
        <v>0</v>
      </c>
      <c r="G384" s="54">
        <v>0</v>
      </c>
      <c r="H384" s="54">
        <v>20</v>
      </c>
      <c r="I384" s="54">
        <v>0.13</v>
      </c>
      <c r="J384" s="54">
        <v>450</v>
      </c>
      <c r="K384" s="54">
        <v>9000</v>
      </c>
      <c r="L384" s="54" t="str">
        <v>申宝</v>
      </c>
      <c r="M384" s="80" t="str">
        <v>增加一米，价格加280；2025.12.10，无预付款，货到现场一个月付至到货款的95%，（六个月商业银行承兑汇票），结算金额5%，质保两年，无息支付</v>
      </c>
    </row>
    <row r="385" ht="42" spans="1:13">
      <c r="A385" s="54">
        <v>0</v>
      </c>
      <c r="B385" s="54" t="str">
        <v>不锈钢链条</v>
      </c>
      <c r="C385" s="54" t="str">
        <v>长度3米</v>
      </c>
      <c r="D385" s="54">
        <v>0</v>
      </c>
      <c r="E385" s="54">
        <v>0</v>
      </c>
      <c r="F385" s="54">
        <v>0</v>
      </c>
      <c r="G385" s="54">
        <v>0</v>
      </c>
      <c r="H385" s="54">
        <v>20</v>
      </c>
      <c r="I385" s="54">
        <v>0.13</v>
      </c>
      <c r="J385" s="54">
        <v>150</v>
      </c>
      <c r="K385" s="54">
        <v>3000</v>
      </c>
      <c r="L385" s="54" t="str">
        <v>申宝</v>
      </c>
      <c r="M385" s="80" t="str">
        <v>增加一米，价格加602025.12.10，无预付款，货到现场一个月付至到货款的95%，（六个月商业银行承兑汇票），结算金额5%，质保两年，无息支付</v>
      </c>
    </row>
    <row r="386" ht="84" spans="1:13">
      <c r="A386" s="54">
        <v>0</v>
      </c>
      <c r="B386" s="54" t="str">
        <v>控制柜</v>
      </c>
      <c r="C386" s="54" t="str">
        <v>SBKP-2ACL-7.5</v>
      </c>
      <c r="D386" s="54">
        <v>0</v>
      </c>
      <c r="E386" s="54">
        <v>0</v>
      </c>
      <c r="F386" s="54">
        <v>0</v>
      </c>
      <c r="G386" s="54">
        <v>0</v>
      </c>
      <c r="H386" s="54">
        <v>10</v>
      </c>
      <c r="I386" s="54">
        <v>0.13</v>
      </c>
      <c r="J386" s="54">
        <v>2500</v>
      </c>
      <c r="K386" s="54">
        <v>25000</v>
      </c>
      <c r="L386" s="54" t="str">
        <v>申宝</v>
      </c>
      <c r="M386" s="80" t="str">
        <v>一控二；自动交替带BA接口：只监不控
(运行、停止、故障)/带高液位报警，
不含浮球，断路器：施耐德，接触器，
继电器：正泰；二个施耐德断路器；2025.12.10，无预付款，货到现场一个月付至到货款的95%，（六个月商业银行承兑汇票），结算金额5%，质保两年，无息支付</v>
      </c>
    </row>
    <row r="387" ht="42" spans="1:13">
      <c r="A387" s="54">
        <v>20</v>
      </c>
      <c r="B387" s="54" t="str">
        <v>潜水排污泵</v>
      </c>
      <c r="C387" s="54" t="str">
        <v>50WQ20-32-5.5</v>
      </c>
      <c r="D387" s="54">
        <v>20</v>
      </c>
      <c r="E387" s="54">
        <v>32</v>
      </c>
      <c r="F387" s="54">
        <v>0</v>
      </c>
      <c r="G387" s="54">
        <v>5.5</v>
      </c>
      <c r="H387" s="54">
        <v>76</v>
      </c>
      <c r="I387" s="54">
        <v>0.13</v>
      </c>
      <c r="J387" s="54">
        <v>2300</v>
      </c>
      <c r="K387" s="54">
        <v>174800</v>
      </c>
      <c r="L387" s="54" t="str">
        <v>申宝</v>
      </c>
      <c r="M387" s="80" t="str">
        <v>标配电缆5米；增加一米，价格加15；2025.12.10，无预付款，货到现场一个月付至到货款的95%，（六个月商业银行承兑汇票），结算金额5%，质保两年，无息支付</v>
      </c>
    </row>
    <row r="388" ht="42" spans="1:13">
      <c r="A388" s="54">
        <v>0</v>
      </c>
      <c r="B388" s="54" t="str">
        <v>自耦</v>
      </c>
      <c r="C388" s="54" t="str">
        <v>GAK-50</v>
      </c>
      <c r="D388" s="54">
        <v>0</v>
      </c>
      <c r="E388" s="54">
        <v>0</v>
      </c>
      <c r="F388" s="54">
        <v>0</v>
      </c>
      <c r="G388" s="54">
        <v>0</v>
      </c>
      <c r="H388" s="54">
        <v>76</v>
      </c>
      <c r="I388" s="54">
        <v>0.13</v>
      </c>
      <c r="J388" s="54">
        <v>200</v>
      </c>
      <c r="K388" s="54">
        <v>15200</v>
      </c>
      <c r="L388" s="54" t="str">
        <v>申宝</v>
      </c>
      <c r="M388" s="80" t="str">
        <v>2025.12.10，无预付款，货到现场一个月付至到货款的95%，（六个月商业银行承兑汇票），结算金额5%，质保两年，无息支付</v>
      </c>
    </row>
    <row r="389" ht="42" spans="1:13">
      <c r="A389" s="54">
        <v>0</v>
      </c>
      <c r="B389" s="54" t="str">
        <v>不锈钢导杆</v>
      </c>
      <c r="C389" s="54" t="str">
        <v>单根长度2米(2根一套)</v>
      </c>
      <c r="D389" s="54">
        <v>0</v>
      </c>
      <c r="E389" s="54">
        <v>0</v>
      </c>
      <c r="F389" s="54">
        <v>0</v>
      </c>
      <c r="G389" s="54">
        <v>0</v>
      </c>
      <c r="H389" s="54">
        <v>76</v>
      </c>
      <c r="I389" s="54">
        <v>0.13</v>
      </c>
      <c r="J389" s="54">
        <v>450</v>
      </c>
      <c r="K389" s="54">
        <v>34200</v>
      </c>
      <c r="L389" s="54" t="str">
        <v>申宝</v>
      </c>
      <c r="M389" s="80" t="str">
        <v>增加一米，价格加280；2025.12.10，无预付款，货到现场一个月付至到货款的95%，（六个月商业银行承兑汇票），结算金额5%，质保两年，无息支付</v>
      </c>
    </row>
    <row r="390" ht="42" spans="1:13">
      <c r="A390" s="54">
        <v>0</v>
      </c>
      <c r="B390" s="54" t="str">
        <v>不锈钢链条</v>
      </c>
      <c r="C390" s="54" t="str">
        <v>长度3米</v>
      </c>
      <c r="D390" s="54">
        <v>0</v>
      </c>
      <c r="E390" s="54">
        <v>0</v>
      </c>
      <c r="F390" s="54">
        <v>0</v>
      </c>
      <c r="G390" s="54">
        <v>0</v>
      </c>
      <c r="H390" s="54">
        <v>76</v>
      </c>
      <c r="I390" s="54">
        <v>0.13</v>
      </c>
      <c r="J390" s="54">
        <v>150</v>
      </c>
      <c r="K390" s="54">
        <v>11400</v>
      </c>
      <c r="L390" s="54" t="str">
        <v>申宝</v>
      </c>
      <c r="M390" s="80" t="str">
        <v>增加一米，价格加602025.12.10，无预付款，货到现场一个月付至到货款的95%，（六个月商业银行承兑汇票），结算金额5%，质保两年，无息支付</v>
      </c>
    </row>
    <row r="391" ht="84" spans="1:13">
      <c r="A391" s="54">
        <v>0</v>
      </c>
      <c r="B391" s="54" t="str">
        <v>控制柜</v>
      </c>
      <c r="C391" s="54" t="str">
        <v>SBKP-2ACL-5.5</v>
      </c>
      <c r="D391" s="54">
        <v>0</v>
      </c>
      <c r="E391" s="54">
        <v>0</v>
      </c>
      <c r="F391" s="54">
        <v>0</v>
      </c>
      <c r="G391" s="54">
        <v>0</v>
      </c>
      <c r="H391" s="54">
        <v>38</v>
      </c>
      <c r="I391" s="54">
        <v>0.13</v>
      </c>
      <c r="J391" s="54">
        <v>1600</v>
      </c>
      <c r="K391" s="54">
        <v>60800</v>
      </c>
      <c r="L391" s="54" t="str">
        <v>申宝</v>
      </c>
      <c r="M391" s="80" t="str">
        <v>一控二；自动交替带BA接口：只监不控
(运行、停止、故障)/带高液位报警，
不含浮球，断路器：施耐德，接触器，
继电器：正泰；二个施耐德断路器；2025.12.10，无预付款，货到现场一个月付至到货款的95%，（六个月商业银行承兑汇票），结算金额5%，质保两年，无息支付</v>
      </c>
    </row>
    <row r="392" ht="42" spans="1:13">
      <c r="A392" s="54">
        <v>21</v>
      </c>
      <c r="B392" s="54" t="str">
        <v>潜水排污泵</v>
      </c>
      <c r="C392" s="54" t="str">
        <v>50WQ15-35-5.5</v>
      </c>
      <c r="D392" s="54">
        <v>15</v>
      </c>
      <c r="E392" s="54">
        <v>35</v>
      </c>
      <c r="F392" s="54">
        <v>0</v>
      </c>
      <c r="G392" s="54">
        <v>5.5</v>
      </c>
      <c r="H392" s="54">
        <v>2</v>
      </c>
      <c r="I392" s="54">
        <v>0.13</v>
      </c>
      <c r="J392" s="54">
        <v>2300</v>
      </c>
      <c r="K392" s="54">
        <v>4600</v>
      </c>
      <c r="L392" s="54" t="str">
        <v>申宝</v>
      </c>
      <c r="M392" s="80" t="str">
        <v>标配电缆5米；增加一米，价格加15；2025.12.10，无预付款，货到现场一个月付至到货款的95%，（六个月商业银行承兑汇票），结算金额5%，质保两年，无息支付</v>
      </c>
    </row>
    <row r="393" ht="42" spans="1:13">
      <c r="A393" s="54">
        <v>0</v>
      </c>
      <c r="B393" s="54" t="str">
        <v>自耦</v>
      </c>
      <c r="C393" s="54" t="str">
        <v>GAK-50</v>
      </c>
      <c r="D393" s="54">
        <v>0</v>
      </c>
      <c r="E393" s="54">
        <v>0</v>
      </c>
      <c r="F393" s="54">
        <v>0</v>
      </c>
      <c r="G393" s="54">
        <v>0</v>
      </c>
      <c r="H393" s="54">
        <v>2</v>
      </c>
      <c r="I393" s="54">
        <v>0.13</v>
      </c>
      <c r="J393" s="54">
        <v>200</v>
      </c>
      <c r="K393" s="54">
        <v>400</v>
      </c>
      <c r="L393" s="54" t="str">
        <v>申宝</v>
      </c>
      <c r="M393" s="80" t="str">
        <v>2025.12.10，无预付款，货到现场一个月付至到货款的95%，（六个月商业银行承兑汇票），结算金额5%，质保两年，无息支付</v>
      </c>
    </row>
    <row r="394" ht="42" spans="1:13">
      <c r="A394" s="54">
        <v>0</v>
      </c>
      <c r="B394" s="54" t="str">
        <v>不锈钢导杆</v>
      </c>
      <c r="C394" s="54" t="str">
        <v>单根长度2米(2根一套)</v>
      </c>
      <c r="D394" s="54">
        <v>0</v>
      </c>
      <c r="E394" s="54">
        <v>0</v>
      </c>
      <c r="F394" s="54">
        <v>0</v>
      </c>
      <c r="G394" s="54">
        <v>0</v>
      </c>
      <c r="H394" s="54">
        <v>2</v>
      </c>
      <c r="I394" s="54">
        <v>0.13</v>
      </c>
      <c r="J394" s="54">
        <v>450</v>
      </c>
      <c r="K394" s="54">
        <v>900</v>
      </c>
      <c r="L394" s="54" t="str">
        <v>申宝</v>
      </c>
      <c r="M394" s="80" t="str">
        <v>增加一米，价格加280；2025.12.10，无预付款，货到现场一个月付至到货款的95%，（六个月商业银行承兑汇票），结算金额5%，质保两年，无息支付</v>
      </c>
    </row>
    <row r="395" ht="42" spans="1:13">
      <c r="A395" s="54">
        <v>0</v>
      </c>
      <c r="B395" s="54" t="str">
        <v>不锈钢链条</v>
      </c>
      <c r="C395" s="54" t="str">
        <v>长度3米</v>
      </c>
      <c r="D395" s="54">
        <v>0</v>
      </c>
      <c r="E395" s="54">
        <v>0</v>
      </c>
      <c r="F395" s="54">
        <v>0</v>
      </c>
      <c r="G395" s="54">
        <v>0</v>
      </c>
      <c r="H395" s="54">
        <v>2</v>
      </c>
      <c r="I395" s="54">
        <v>0.13</v>
      </c>
      <c r="J395" s="54">
        <v>150</v>
      </c>
      <c r="K395" s="54">
        <v>300</v>
      </c>
      <c r="L395" s="54" t="str">
        <v>申宝</v>
      </c>
      <c r="M395" s="80" t="str">
        <v>2025.12.10，无预付款，货到现场一个月付至到货款的95%，（六个月商业银行承兑汇票），结算金额5%，质保两年，无息支付</v>
      </c>
    </row>
    <row r="396" ht="70" spans="1:13">
      <c r="A396" s="54">
        <v>0</v>
      </c>
      <c r="B396" s="54" t="str">
        <v>
控制柜</v>
      </c>
      <c r="C396" s="54" t="str">
        <v>SBKP-2ACL-5.5</v>
      </c>
      <c r="D396" s="54">
        <v>0</v>
      </c>
      <c r="E396" s="54">
        <v>0</v>
      </c>
      <c r="F396" s="54">
        <v>0</v>
      </c>
      <c r="G396" s="54">
        <v>0</v>
      </c>
      <c r="H396" s="54">
        <v>1</v>
      </c>
      <c r="I396" s="54">
        <v>0.13</v>
      </c>
      <c r="J396" s="54">
        <v>1600</v>
      </c>
      <c r="K396" s="54">
        <v>1600</v>
      </c>
      <c r="L396" s="54" t="str">
        <v>申宝</v>
      </c>
      <c r="M396" s="80" t="str">
        <v>(运行、停止、故障)/带高液位报警，
不含浮球，断路器：施耐德，接触器，
继电器：正泰；二个施耐德断路器；2025.12.10，无预付款，货到现场一个月付至到货款的95%，（六个月商业银行承兑汇票），结算金额5%，质保两年，无息支付</v>
      </c>
    </row>
    <row r="397" ht="42" spans="1:13">
      <c r="A397" s="54">
        <v>22</v>
      </c>
      <c r="B397" s="54" t="str">
        <v>卫生间一体化提升装置</v>
      </c>
      <c r="C397" s="54">
        <v>0</v>
      </c>
      <c r="D397" s="54">
        <v>0</v>
      </c>
      <c r="E397" s="54">
        <v>0</v>
      </c>
      <c r="F397" s="54">
        <v>0</v>
      </c>
      <c r="G397" s="54">
        <v>0</v>
      </c>
      <c r="H397" s="54">
        <v>1</v>
      </c>
      <c r="I397" s="54">
        <v>0.13</v>
      </c>
      <c r="J397" s="54">
        <v>0</v>
      </c>
      <c r="K397" s="54">
        <v>0</v>
      </c>
      <c r="L397" s="54" t="str">
        <v>申宝</v>
      </c>
      <c r="M397" s="80" t="str">
        <v>2025.12.10，无预付款，货到现场一个月付至到货款的95%，（六个月商业银行承兑汇票），结算金额5%，质保两年，无息支付</v>
      </c>
    </row>
    <row r="398" ht="42" spans="1:13">
      <c r="A398" s="54">
        <v>0</v>
      </c>
      <c r="B398" s="54" t="str">
        <v>潜水排污泵</v>
      </c>
      <c r="C398" s="54" t="str">
        <v>50WQ20-35-7.5</v>
      </c>
      <c r="D398" s="54">
        <v>20</v>
      </c>
      <c r="E398" s="54">
        <v>35</v>
      </c>
      <c r="F398" s="54">
        <v>0</v>
      </c>
      <c r="G398" s="54">
        <v>7.5</v>
      </c>
      <c r="H398" s="54">
        <v>2</v>
      </c>
      <c r="I398" s="54">
        <v>0.13</v>
      </c>
      <c r="J398" s="54">
        <v>2800</v>
      </c>
      <c r="K398" s="54">
        <v>5600</v>
      </c>
      <c r="L398" s="54" t="str">
        <v>申宝</v>
      </c>
      <c r="M398" s="80" t="str">
        <v>标配电缆5米；增加一米，价格加15；2025.12.10，无预付款，货到现场一个月付至到货款的95%，（六个月商业银行承兑汇票），结算金额5%，质保两年，无息支付</v>
      </c>
    </row>
    <row r="399" ht="42" spans="1:13">
      <c r="A399" s="54">
        <v>0</v>
      </c>
      <c r="B399" s="54" t="str">
        <v>自耦</v>
      </c>
      <c r="C399" s="54" t="str">
        <v>GAK-50</v>
      </c>
      <c r="D399" s="54">
        <v>0</v>
      </c>
      <c r="E399" s="54">
        <v>0</v>
      </c>
      <c r="F399" s="54">
        <v>0</v>
      </c>
      <c r="G399" s="54">
        <v>0</v>
      </c>
      <c r="H399" s="54">
        <v>2</v>
      </c>
      <c r="I399" s="54">
        <v>0.13</v>
      </c>
      <c r="J399" s="54">
        <v>200</v>
      </c>
      <c r="K399" s="54">
        <v>400</v>
      </c>
      <c r="L399" s="54" t="str">
        <v>申宝</v>
      </c>
      <c r="M399" s="80" t="str">
        <v>2025.12.10，无预付款，货到现场一个月付至到货款的95%，（六个月商业银行承兑汇票），结算金额5%，质保两年，无息支付</v>
      </c>
    </row>
    <row r="400" ht="42" spans="1:13">
      <c r="A400" s="54">
        <v>0</v>
      </c>
      <c r="B400" s="54" t="str">
        <v>不锈钢导杆</v>
      </c>
      <c r="C400" s="54" t="str">
        <v>单根长度1米(2根一套)</v>
      </c>
      <c r="D400" s="54">
        <v>0</v>
      </c>
      <c r="E400" s="54">
        <v>0</v>
      </c>
      <c r="F400" s="54">
        <v>0</v>
      </c>
      <c r="G400" s="54">
        <v>0</v>
      </c>
      <c r="H400" s="54">
        <v>2</v>
      </c>
      <c r="I400" s="54">
        <v>0.13</v>
      </c>
      <c r="J400" s="54">
        <v>250</v>
      </c>
      <c r="K400" s="54">
        <v>500</v>
      </c>
      <c r="L400" s="54" t="str">
        <v>申宝</v>
      </c>
      <c r="M400" s="80" t="str">
        <v>增加一米，价格加240；2025.12.10，无预付款，货到现场一个月付至到货款的95%，（六个月商业银行承兑汇票），结算金额5%，质保两年，无息支付</v>
      </c>
    </row>
    <row r="401" ht="42" spans="1:13">
      <c r="A401" s="54">
        <v>0</v>
      </c>
      <c r="B401" s="54" t="str">
        <v>不锈钢链条</v>
      </c>
      <c r="C401" s="54" t="str">
        <v>长度1米</v>
      </c>
      <c r="D401" s="54">
        <v>0</v>
      </c>
      <c r="E401" s="54">
        <v>0</v>
      </c>
      <c r="F401" s="54">
        <v>0</v>
      </c>
      <c r="G401" s="54">
        <v>0</v>
      </c>
      <c r="H401" s="54">
        <v>2</v>
      </c>
      <c r="I401" s="54">
        <v>0.13</v>
      </c>
      <c r="J401" s="54">
        <v>60</v>
      </c>
      <c r="K401" s="54">
        <v>120</v>
      </c>
      <c r="L401" s="54" t="str">
        <v>申宝</v>
      </c>
      <c r="M401" s="80" t="str">
        <v>增加一米，价格加602025.12.10，无预付款，货到现场一个月付至到货款的95%，（六个月商业银行承兑汇票），结算金额5%，质保两年，无息支付</v>
      </c>
    </row>
    <row r="402" ht="42" spans="1:13">
      <c r="A402" s="54">
        <v>0</v>
      </c>
      <c r="B402" s="54" t="str">
        <v>不锈钢水箱</v>
      </c>
      <c r="C402" s="54" t="str">
        <v>配置：1000*1000*1000不锈钢304水箱
一台(厚度2mm)</v>
      </c>
      <c r="D402" s="54">
        <v>0</v>
      </c>
      <c r="E402" s="54">
        <v>0</v>
      </c>
      <c r="F402" s="54">
        <v>0</v>
      </c>
      <c r="G402" s="54">
        <v>0</v>
      </c>
      <c r="H402" s="54">
        <v>1</v>
      </c>
      <c r="I402" s="54">
        <v>0.13</v>
      </c>
      <c r="J402" s="54">
        <v>6500</v>
      </c>
      <c r="K402" s="54">
        <v>6500</v>
      </c>
      <c r="L402" s="54" t="str">
        <v>申宝</v>
      </c>
      <c r="M402" s="80" t="str">
        <v>2025.12.10，无预付款，货到现场一个月付至到货款的95%，（六个月商业银行承兑汇票），结算金额5%，质保两年，无息支付</v>
      </c>
    </row>
    <row r="403" ht="84" spans="1:13">
      <c r="A403" s="54">
        <v>0</v>
      </c>
      <c r="B403" s="54" t="str">
        <v>控制柜</v>
      </c>
      <c r="C403" s="54" t="str">
        <v>SBKP-2ACL-7.5</v>
      </c>
      <c r="D403" s="54">
        <v>0</v>
      </c>
      <c r="E403" s="54">
        <v>0</v>
      </c>
      <c r="F403" s="54">
        <v>0</v>
      </c>
      <c r="G403" s="54">
        <v>0</v>
      </c>
      <c r="H403" s="54">
        <v>1</v>
      </c>
      <c r="I403" s="54">
        <v>0.13</v>
      </c>
      <c r="J403" s="54">
        <v>2500</v>
      </c>
      <c r="K403" s="54">
        <v>2500</v>
      </c>
      <c r="L403" s="54" t="str">
        <v>申宝</v>
      </c>
      <c r="M403" s="80" t="str">
        <v>一控二；自动交替带BA接口：只监不控
(运行、停止、故障)/带高液位报警，
不含浮球，断路器：施耐德，接触器，
继电器：正泰；二个施耐德断路器；2025.12.10，无预付款，货到现场一个月付至到货款的95%，（六个月商业银行承兑汇票），结算金额5%，质保两年，无息支付</v>
      </c>
    </row>
    <row r="404" ht="42" spans="1:13">
      <c r="A404" s="54">
        <v>24</v>
      </c>
      <c r="B404" s="54" t="str">
        <v>潜水排污泵</v>
      </c>
      <c r="C404" s="54" t="str">
        <v>80WQ60-30-11</v>
      </c>
      <c r="D404" s="54">
        <v>60</v>
      </c>
      <c r="E404" s="54">
        <v>30</v>
      </c>
      <c r="F404" s="54">
        <v>0</v>
      </c>
      <c r="G404" s="54">
        <v>11</v>
      </c>
      <c r="H404" s="54">
        <v>12</v>
      </c>
      <c r="I404" s="54">
        <v>0.13</v>
      </c>
      <c r="J404" s="54">
        <v>4300</v>
      </c>
      <c r="K404" s="54">
        <v>51600</v>
      </c>
      <c r="L404" s="54" t="str">
        <v>申宝</v>
      </c>
      <c r="M404" s="80" t="str">
        <v>标配电缆5米；增加一米，价格加15；2025.12.10，无预付款，货到现场一个月付至到货款的95%，（六个月商业银行承兑汇票），结算金额5%，质保两年，无息支付</v>
      </c>
    </row>
    <row r="405" ht="42" spans="1:13">
      <c r="A405" s="54">
        <v>0</v>
      </c>
      <c r="B405" s="54" t="str">
        <v>自耦</v>
      </c>
      <c r="C405" s="54" t="str">
        <v>GAK-80</v>
      </c>
      <c r="D405" s="54">
        <v>0</v>
      </c>
      <c r="E405" s="54">
        <v>0</v>
      </c>
      <c r="F405" s="54">
        <v>0</v>
      </c>
      <c r="G405" s="54">
        <v>0</v>
      </c>
      <c r="H405" s="54">
        <v>12</v>
      </c>
      <c r="I405" s="54">
        <v>0.13</v>
      </c>
      <c r="J405" s="54">
        <v>400</v>
      </c>
      <c r="K405" s="54">
        <v>4800</v>
      </c>
      <c r="L405" s="54" t="str">
        <v>申宝</v>
      </c>
      <c r="M405" s="80" t="str">
        <v>2025.12.10，无预付款，货到现场一个月付至到货款的95%，（六个月商业银行承兑汇票），结算金额5%，质保两年，无息支付</v>
      </c>
    </row>
    <row r="406" ht="42" spans="1:13">
      <c r="A406" s="54">
        <v>0</v>
      </c>
      <c r="B406" s="54" t="str">
        <v>不锈钢导杆</v>
      </c>
      <c r="C406" s="54" t="str">
        <v>单根长度2米(2根一套)</v>
      </c>
      <c r="D406" s="54">
        <v>0</v>
      </c>
      <c r="E406" s="54">
        <v>0</v>
      </c>
      <c r="F406" s="54">
        <v>0</v>
      </c>
      <c r="G406" s="54">
        <v>0</v>
      </c>
      <c r="H406" s="54">
        <v>12</v>
      </c>
      <c r="I406" s="54">
        <v>0.13</v>
      </c>
      <c r="J406" s="54">
        <v>650</v>
      </c>
      <c r="K406" s="54">
        <v>7800</v>
      </c>
      <c r="L406" s="54" t="str">
        <v>申宝</v>
      </c>
      <c r="M406" s="80" t="str">
        <v>增加一米，价格加280；2025.12.10，无预付款，货到现场一个月付至到货款的95%，（六个月商业银行承兑汇票），结算金额5%，质保两年，无息支付</v>
      </c>
    </row>
    <row r="407" ht="42" spans="1:13">
      <c r="A407" s="54">
        <v>0</v>
      </c>
      <c r="B407" s="54" t="str">
        <v>不锈钢链条</v>
      </c>
      <c r="C407" s="54" t="str">
        <v>长度3米</v>
      </c>
      <c r="D407" s="54">
        <v>0</v>
      </c>
      <c r="E407" s="54">
        <v>0</v>
      </c>
      <c r="F407" s="54">
        <v>0</v>
      </c>
      <c r="G407" s="54">
        <v>0</v>
      </c>
      <c r="H407" s="54">
        <v>12</v>
      </c>
      <c r="I407" s="54">
        <v>0.13</v>
      </c>
      <c r="J407" s="54">
        <v>150</v>
      </c>
      <c r="K407" s="54">
        <v>1800</v>
      </c>
      <c r="L407" s="54" t="str">
        <v>申宝</v>
      </c>
      <c r="M407" s="80" t="str">
        <v>增加一米，价格加602025.12.10，无预付款，货到现场一个月付至到货款的95%，（六个月商业银行承兑汇票），结算金额5%，质保两年，无息支付</v>
      </c>
    </row>
    <row r="408" ht="84" spans="1:13">
      <c r="A408" s="54">
        <v>0</v>
      </c>
      <c r="B408" s="54" t="str">
        <v>控制柜</v>
      </c>
      <c r="C408" s="54" t="str">
        <v>SBKP-2ACL-11</v>
      </c>
      <c r="D408" s="54">
        <v>0</v>
      </c>
      <c r="E408" s="54">
        <v>0</v>
      </c>
      <c r="F408" s="54">
        <v>0</v>
      </c>
      <c r="G408" s="54">
        <v>0</v>
      </c>
      <c r="H408" s="54">
        <v>6</v>
      </c>
      <c r="I408" s="54">
        <v>0.13</v>
      </c>
      <c r="J408" s="54">
        <v>3000</v>
      </c>
      <c r="K408" s="54">
        <v>18000</v>
      </c>
      <c r="L408" s="54" t="str">
        <v>申宝</v>
      </c>
      <c r="M408" s="80" t="str">
        <v>一控二；自动交替带BA接口：只监不控
(运行、停止、故障)/带高液位报警，
不含浮球，断路器：施耐德，接触器，
继电器：正泰；二个施耐德断路器；2025.12.10，无预付款，货到现场一个月付至到货款的95%，（六个月商业银行承兑汇票），结算金额5%，质保两年，无息支付</v>
      </c>
    </row>
    <row r="409" ht="42" spans="1:13">
      <c r="A409" s="54">
        <v>25</v>
      </c>
      <c r="B409" s="54" t="str">
        <v>潜水排污泵</v>
      </c>
      <c r="C409" s="54" t="str">
        <v>65WQ36-35-7.5</v>
      </c>
      <c r="D409" s="54">
        <v>36</v>
      </c>
      <c r="E409" s="54">
        <v>35</v>
      </c>
      <c r="F409" s="54">
        <v>0</v>
      </c>
      <c r="G409" s="54">
        <v>7.5</v>
      </c>
      <c r="H409" s="54">
        <v>3</v>
      </c>
      <c r="I409" s="54">
        <v>0.13</v>
      </c>
      <c r="J409" s="54">
        <v>2900</v>
      </c>
      <c r="K409" s="54">
        <v>8700</v>
      </c>
      <c r="L409" s="54" t="str">
        <v>申宝</v>
      </c>
      <c r="M409" s="80" t="str">
        <v>标配电缆5米；增加一米，价格加15；2025.12.10，无预付款，货到现场一个月付至到货款的95%，（六个月商业银行承兑汇票），结算金额5%，质保两年，无息支付</v>
      </c>
    </row>
    <row r="410" ht="42" spans="1:13">
      <c r="A410" s="54">
        <v>0</v>
      </c>
      <c r="B410" s="54" t="str">
        <v>自耦</v>
      </c>
      <c r="C410" s="54" t="str">
        <v>GAK-65</v>
      </c>
      <c r="D410" s="54">
        <v>0</v>
      </c>
      <c r="E410" s="54">
        <v>0</v>
      </c>
      <c r="F410" s="54">
        <v>0</v>
      </c>
      <c r="G410" s="54">
        <v>0</v>
      </c>
      <c r="H410" s="54">
        <v>3</v>
      </c>
      <c r="I410" s="54">
        <v>0.13</v>
      </c>
      <c r="J410" s="54">
        <v>250</v>
      </c>
      <c r="K410" s="54">
        <v>750</v>
      </c>
      <c r="L410" s="54" t="str">
        <v>申宝</v>
      </c>
      <c r="M410" s="80" t="str">
        <v>2025.12.10，无预付款，货到现场一个月付至到货款的95%，（六个月商业银行承兑汇票），结算金额5%，质保两年，无息支付</v>
      </c>
    </row>
    <row r="411" ht="42" spans="1:13">
      <c r="A411" s="54">
        <v>0</v>
      </c>
      <c r="B411" s="54" t="str">
        <v>不锈钢导杆</v>
      </c>
      <c r="C411" s="54" t="str">
        <v>单根长度2米(2根一套)</v>
      </c>
      <c r="D411" s="54">
        <v>0</v>
      </c>
      <c r="E411" s="54">
        <v>0</v>
      </c>
      <c r="F411" s="54">
        <v>0</v>
      </c>
      <c r="G411" s="54">
        <v>0</v>
      </c>
      <c r="H411" s="54">
        <v>3</v>
      </c>
      <c r="I411" s="54">
        <v>0.13</v>
      </c>
      <c r="J411" s="54">
        <v>450</v>
      </c>
      <c r="K411" s="54">
        <v>1350</v>
      </c>
      <c r="L411" s="54" t="str">
        <v>申宝</v>
      </c>
      <c r="M411" s="80" t="str">
        <v>增加一米，价格加280；2025.12.10，无预付款，货到现场一个月付至到货款的95%，（六个月商业银行承兑汇票），结算金额5%，质保两年，无息支付</v>
      </c>
    </row>
    <row r="412" ht="42" spans="1:13">
      <c r="A412" s="54">
        <v>0</v>
      </c>
      <c r="B412" s="54" t="str">
        <v>不锈钢链条</v>
      </c>
      <c r="C412" s="54" t="str">
        <v>长度3米</v>
      </c>
      <c r="D412" s="54">
        <v>0</v>
      </c>
      <c r="E412" s="54">
        <v>0</v>
      </c>
      <c r="F412" s="54">
        <v>0</v>
      </c>
      <c r="G412" s="54">
        <v>0</v>
      </c>
      <c r="H412" s="54">
        <v>3</v>
      </c>
      <c r="I412" s="54">
        <v>0.13</v>
      </c>
      <c r="J412" s="54">
        <v>150</v>
      </c>
      <c r="K412" s="54">
        <v>450</v>
      </c>
      <c r="L412" s="54" t="str">
        <v>申宝</v>
      </c>
      <c r="M412" s="80" t="str">
        <v>增加一米，价格加602025.12.10，无预付款，货到现场一个月付至到货款的95%，（六个月商业银行承兑汇票），结算金额5%，质保两年，无息支付</v>
      </c>
    </row>
    <row r="413" ht="56" spans="1:13">
      <c r="A413" s="54">
        <v>0</v>
      </c>
      <c r="B413" s="54" t="str">
        <v>控制柜</v>
      </c>
      <c r="C413" s="54" t="str">
        <v>SBKP-3ACL-7.5</v>
      </c>
      <c r="D413" s="54">
        <v>0</v>
      </c>
      <c r="E413" s="54">
        <v>0</v>
      </c>
      <c r="F413" s="54">
        <v>0</v>
      </c>
      <c r="G413" s="54">
        <v>0</v>
      </c>
      <c r="H413" s="54">
        <v>1</v>
      </c>
      <c r="I413" s="54">
        <v>0.13</v>
      </c>
      <c r="J413" s="54">
        <v>3700</v>
      </c>
      <c r="K413" s="54">
        <v>3700</v>
      </c>
      <c r="L413" s="54" t="str">
        <v>申宝</v>
      </c>
      <c r="M413" s="80" t="str">
        <v>一控三，自动交替带BA接口：只监不控
(运行、停止、故障)/带高液位报警，2025.12.10，无预付款，货到现场一个月付至到货款的95%，（六个月商业银行承兑汇票），结算金额5%，质保两年，无息支付</v>
      </c>
    </row>
    <row r="414" ht="42" spans="1:13">
      <c r="A414" s="54">
        <v>26</v>
      </c>
      <c r="B414" s="54" t="str">
        <v>潜水排污泵</v>
      </c>
      <c r="C414" s="54" t="str">
        <v>65WQ36-35-7.5</v>
      </c>
      <c r="D414" s="54">
        <v>36</v>
      </c>
      <c r="E414" s="54">
        <v>30</v>
      </c>
      <c r="F414" s="54">
        <v>0</v>
      </c>
      <c r="G414" s="54">
        <v>7.5</v>
      </c>
      <c r="H414" s="54">
        <v>3</v>
      </c>
      <c r="I414" s="54">
        <v>0.13</v>
      </c>
      <c r="J414" s="54">
        <v>2900</v>
      </c>
      <c r="K414" s="54">
        <v>8700</v>
      </c>
      <c r="L414" s="54" t="str">
        <v>申宝</v>
      </c>
      <c r="M414" s="80" t="str">
        <v>标配电缆5米；增加一米，价格加15；2025.12.10，无预付款，货到现场一个月付至到货款的95%，（六个月商业银行承兑汇票），结算金额5%，质保两年，无息支付</v>
      </c>
    </row>
    <row r="415" ht="42" spans="1:13">
      <c r="A415" s="54">
        <v>0</v>
      </c>
      <c r="B415" s="54" t="str">
        <v>自耦</v>
      </c>
      <c r="C415" s="54" t="str">
        <v>GAK-65</v>
      </c>
      <c r="D415" s="54">
        <v>0</v>
      </c>
      <c r="E415" s="54">
        <v>0</v>
      </c>
      <c r="F415" s="54">
        <v>0</v>
      </c>
      <c r="G415" s="54">
        <v>0</v>
      </c>
      <c r="H415" s="54">
        <v>3</v>
      </c>
      <c r="I415" s="54">
        <v>0.13</v>
      </c>
      <c r="J415" s="54">
        <v>250</v>
      </c>
      <c r="K415" s="54">
        <v>750</v>
      </c>
      <c r="L415" s="54" t="str">
        <v>申宝</v>
      </c>
      <c r="M415" s="80" t="str">
        <v>2025.12.10，无预付款，货到现场一个月付至到货款的95%，（六个月商业银行承兑汇票），结算金额5%，质保两年，无息支付</v>
      </c>
    </row>
    <row r="416" ht="42" spans="1:13">
      <c r="A416" s="54">
        <v>0</v>
      </c>
      <c r="B416" s="54" t="str">
        <v>不锈钢导杆</v>
      </c>
      <c r="C416" s="54" t="str">
        <v>单根长度2米(2根一套)</v>
      </c>
      <c r="D416" s="54">
        <v>0</v>
      </c>
      <c r="E416" s="54">
        <v>0</v>
      </c>
      <c r="F416" s="54">
        <v>0</v>
      </c>
      <c r="G416" s="54">
        <v>0</v>
      </c>
      <c r="H416" s="54">
        <v>3</v>
      </c>
      <c r="I416" s="54">
        <v>0.13</v>
      </c>
      <c r="J416" s="54">
        <v>450</v>
      </c>
      <c r="K416" s="54">
        <v>1350</v>
      </c>
      <c r="L416" s="54" t="str">
        <v>申宝</v>
      </c>
      <c r="M416" s="80" t="str">
        <v>增加一米，价格加280；2025.12.10，无预付款，货到现场一个月付至到货款的95%，（六个月商业银行承兑汇票），结算金额5%，质保两年，无息支付</v>
      </c>
    </row>
    <row r="417" ht="42" spans="1:13">
      <c r="A417" s="54">
        <v>0</v>
      </c>
      <c r="B417" s="54" t="str">
        <v>不锈钢链条</v>
      </c>
      <c r="C417" s="54" t="str">
        <v>长度3米</v>
      </c>
      <c r="D417" s="54">
        <v>0</v>
      </c>
      <c r="E417" s="54">
        <v>0</v>
      </c>
      <c r="F417" s="54">
        <v>0</v>
      </c>
      <c r="G417" s="54">
        <v>0</v>
      </c>
      <c r="H417" s="54">
        <v>3</v>
      </c>
      <c r="I417" s="54">
        <v>0.13</v>
      </c>
      <c r="J417" s="54">
        <v>150</v>
      </c>
      <c r="K417" s="54">
        <v>450</v>
      </c>
      <c r="L417" s="54" t="str">
        <v>申宝</v>
      </c>
      <c r="M417" s="80" t="str">
        <v>增加一米，价格加602025.12.10，无预付款，货到现场一个月付至到货款的95%，（六个月商业银行承兑汇票），结算金额5%，质保两年，无息支付</v>
      </c>
    </row>
    <row r="418" ht="84" spans="1:13">
      <c r="A418" s="54">
        <v>0</v>
      </c>
      <c r="B418" s="54" t="str">
        <v>控制柜</v>
      </c>
      <c r="C418" s="54" t="str">
        <v>SBKP-3ACL-7.5</v>
      </c>
      <c r="D418" s="54">
        <v>0</v>
      </c>
      <c r="E418" s="54">
        <v>0</v>
      </c>
      <c r="F418" s="54">
        <v>0</v>
      </c>
      <c r="G418" s="54">
        <v>0</v>
      </c>
      <c r="H418" s="54">
        <v>1</v>
      </c>
      <c r="I418" s="54">
        <v>0.13</v>
      </c>
      <c r="J418" s="54">
        <v>3700</v>
      </c>
      <c r="K418" s="54">
        <v>3700</v>
      </c>
      <c r="L418" s="54" t="str">
        <v>申宝</v>
      </c>
      <c r="M418" s="80" t="str">
        <v>一控三，自动交替带BA接口：只监不控
(运行、停止、故障)/带高液位报警，
不含浮球，断路器：施耐德，接触器，
继电器：正泰；三个施耐德断路器；2025.12.10，无预付款，货到现场一个月付至到货款的95%，（六个月商业银行承兑汇票），结算金额5%，质保两年，无息支付</v>
      </c>
    </row>
    <row r="419" ht="42" spans="1:13">
      <c r="A419" s="54">
        <v>27</v>
      </c>
      <c r="B419" s="54" t="str">
        <v>潜水排污泵</v>
      </c>
      <c r="C419" s="54" t="str">
        <v>50WQ15-30-4</v>
      </c>
      <c r="D419" s="54">
        <v>10</v>
      </c>
      <c r="E419" s="54">
        <v>30</v>
      </c>
      <c r="F419" s="54">
        <v>0</v>
      </c>
      <c r="G419" s="54">
        <v>4</v>
      </c>
      <c r="H419" s="54">
        <v>2</v>
      </c>
      <c r="I419" s="54">
        <v>0.13</v>
      </c>
      <c r="J419" s="54">
        <v>1650</v>
      </c>
      <c r="K419" s="54">
        <v>3300</v>
      </c>
      <c r="L419" s="54" t="str">
        <v>申宝</v>
      </c>
      <c r="M419" s="80" t="str">
        <v>标配电缆5米；增加一米，价格加15；2025.12.10，无预付款，货到现场一个月付至到货款的95%，（六个月商业银行承兑汇票），结算金额5%，质保两年，无息支付</v>
      </c>
    </row>
    <row r="420" ht="42" spans="1:13">
      <c r="A420" s="54">
        <v>0</v>
      </c>
      <c r="B420" s="54" t="str">
        <v>自耦</v>
      </c>
      <c r="C420" s="54" t="str">
        <v>GAK-50</v>
      </c>
      <c r="D420" s="54">
        <v>0</v>
      </c>
      <c r="E420" s="54">
        <v>0</v>
      </c>
      <c r="F420" s="54">
        <v>0</v>
      </c>
      <c r="G420" s="54">
        <v>0</v>
      </c>
      <c r="H420" s="54">
        <v>2</v>
      </c>
      <c r="I420" s="54">
        <v>0.13</v>
      </c>
      <c r="J420" s="54">
        <v>200</v>
      </c>
      <c r="K420" s="54">
        <v>400</v>
      </c>
      <c r="L420" s="54" t="str">
        <v>申宝</v>
      </c>
      <c r="M420" s="80" t="str">
        <v>2025.12.10，无预付款，货到现场一个月付至到货款的95%，（六个月商业银行承兑汇票），结算金额5%，质保两年，无息支付</v>
      </c>
    </row>
    <row r="421" ht="42" spans="1:13">
      <c r="A421" s="54">
        <v>0</v>
      </c>
      <c r="B421" s="54" t="str">
        <v>不锈钢导杆</v>
      </c>
      <c r="C421" s="54" t="str">
        <v>单根长度2米(2根一套)</v>
      </c>
      <c r="D421" s="54">
        <v>0</v>
      </c>
      <c r="E421" s="54">
        <v>0</v>
      </c>
      <c r="F421" s="54">
        <v>0</v>
      </c>
      <c r="G421" s="54">
        <v>0</v>
      </c>
      <c r="H421" s="54">
        <v>2</v>
      </c>
      <c r="I421" s="54">
        <v>0.13</v>
      </c>
      <c r="J421" s="54">
        <v>450</v>
      </c>
      <c r="K421" s="54">
        <v>900</v>
      </c>
      <c r="L421" s="54" t="str">
        <v>申宝</v>
      </c>
      <c r="M421" s="80" t="str">
        <v>增加一米，价格加240；2025.12.10，无预付款，货到现场一个月付至到货款的95%，（六个月商业银行承兑汇票），结算金额5%，质保两年，无息支付</v>
      </c>
    </row>
    <row r="422" ht="42" spans="1:13">
      <c r="A422" s="54">
        <v>0</v>
      </c>
      <c r="B422" s="54" t="str">
        <v>不锈钢链条</v>
      </c>
      <c r="C422" s="54" t="str">
        <v>长度3米</v>
      </c>
      <c r="D422" s="54">
        <v>0</v>
      </c>
      <c r="E422" s="54">
        <v>0</v>
      </c>
      <c r="F422" s="54">
        <v>0</v>
      </c>
      <c r="G422" s="54">
        <v>0</v>
      </c>
      <c r="H422" s="54">
        <v>2</v>
      </c>
      <c r="I422" s="54">
        <v>0.13</v>
      </c>
      <c r="J422" s="54">
        <v>150</v>
      </c>
      <c r="K422" s="54">
        <v>300</v>
      </c>
      <c r="L422" s="54" t="str">
        <v>申宝</v>
      </c>
      <c r="M422" s="80" t="str">
        <v>增加一米，价格加602025.12.10，无预付款，货到现场一个月付至到货款的95%，（六个月商业银行承兑汇票），结算金额5%，质保两年，无息支付</v>
      </c>
    </row>
    <row r="423" ht="84" spans="1:13">
      <c r="A423" s="54">
        <v>0</v>
      </c>
      <c r="B423" s="54" t="str">
        <v>控制柜</v>
      </c>
      <c r="C423" s="54" t="str">
        <v>SBKP-2ACL-3</v>
      </c>
      <c r="D423" s="54">
        <v>0</v>
      </c>
      <c r="E423" s="54">
        <v>0</v>
      </c>
      <c r="F423" s="54">
        <v>0</v>
      </c>
      <c r="G423" s="54">
        <v>0</v>
      </c>
      <c r="H423" s="54">
        <v>1</v>
      </c>
      <c r="I423" s="54">
        <v>0.13</v>
      </c>
      <c r="J423" s="54">
        <v>1250</v>
      </c>
      <c r="K423" s="54">
        <v>1250</v>
      </c>
      <c r="L423" s="54" t="str">
        <v>申宝</v>
      </c>
      <c r="M423" s="80" t="str">
        <v>一控二；自动交替带BA接口：只监不控
(运行、停止、故障)/带高液位报警，
不含浮球，断路器：施耐德，接触器，
继电器：正泰；二个施耐德断路器；2025.12.10，无预付款，货到现场一个月付至到货款的95%，（六个月商业银行承兑汇票），结算金额5%，质保两年，无息支付</v>
      </c>
    </row>
    <row r="424" ht="42" spans="1:13">
      <c r="A424" s="54">
        <v>0</v>
      </c>
      <c r="B424" s="54" t="str">
        <v>浮球开关</v>
      </c>
      <c r="C424" s="54" t="str">
        <v>控制线5米</v>
      </c>
      <c r="D424" s="54">
        <v>0</v>
      </c>
      <c r="E424" s="54">
        <v>0</v>
      </c>
      <c r="F424" s="54">
        <v>0</v>
      </c>
      <c r="G424" s="54">
        <v>0</v>
      </c>
      <c r="H424" s="54">
        <v>223</v>
      </c>
      <c r="I424" s="54">
        <v>0.13</v>
      </c>
      <c r="J424" s="54">
        <v>80</v>
      </c>
      <c r="K424" s="54">
        <v>17840</v>
      </c>
      <c r="L424" s="54" t="str">
        <v>申宝</v>
      </c>
      <c r="M424" s="80" t="str">
        <v>增加一米，价格加5；2025.12.10，无预付款，货到现场一个月付至到货款的95%，（六个月商业银行承兑汇票），结算金额5%，质保两年，无息支付</v>
      </c>
    </row>
    <row r="425" ht="70" spans="1:13">
      <c r="A425" s="54">
        <v>1</v>
      </c>
      <c r="B425" s="54" t="str">
        <v>车库隔油沉砂废水集水井潜水排污泵</v>
      </c>
      <c r="C425" s="54" t="str">
        <v>50WQE20-15-1.5</v>
      </c>
      <c r="D425" s="54">
        <v>20</v>
      </c>
      <c r="E425" s="54">
        <v>15</v>
      </c>
      <c r="F425" s="54">
        <v>0</v>
      </c>
      <c r="G425" s="54">
        <v>1.5</v>
      </c>
      <c r="H425" s="54">
        <v>28</v>
      </c>
      <c r="I425" s="54">
        <v>0.13</v>
      </c>
      <c r="J425" s="54">
        <v>1220</v>
      </c>
      <c r="K425" s="54">
        <v>34160</v>
      </c>
      <c r="L425" s="54" t="str">
        <v>上海连城</v>
      </c>
      <c r="M425" s="80" t="str">
        <v>10米电缆线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26" ht="84" spans="1:13">
      <c r="A426" s="54">
        <v>0</v>
      </c>
      <c r="B426" s="54" t="str">
        <v>控制柜</v>
      </c>
      <c r="C426" s="54" t="str">
        <v>LEC-2ACS-1.5/B-D（主要元器件：正泰）</v>
      </c>
      <c r="D426" s="54">
        <v>0</v>
      </c>
      <c r="E426" s="54">
        <v>0</v>
      </c>
      <c r="F426" s="54">
        <v>0</v>
      </c>
      <c r="G426" s="54">
        <v>0</v>
      </c>
      <c r="H426" s="54">
        <v>14</v>
      </c>
      <c r="I426" s="54">
        <v>0.13</v>
      </c>
      <c r="J426" s="54">
        <v>2540</v>
      </c>
      <c r="K426" s="54">
        <v>35560</v>
      </c>
      <c r="L426" s="54" t="str">
        <v>上海连城</v>
      </c>
      <c r="M426" s="80" t="str">
        <v>双电源，一用一备；超高液位报警、二泵同时启动，含双电源国产系列CB级。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27" ht="70" spans="1:13">
      <c r="A427" s="54">
        <v>0</v>
      </c>
      <c r="B427" s="54" t="str">
        <v>自耦</v>
      </c>
      <c r="C427" s="54" t="str">
        <v>GAK(II)-50</v>
      </c>
      <c r="D427" s="54">
        <v>0</v>
      </c>
      <c r="E427" s="54">
        <v>0</v>
      </c>
      <c r="F427" s="54">
        <v>0</v>
      </c>
      <c r="G427" s="54">
        <v>0</v>
      </c>
      <c r="H427" s="54">
        <v>28</v>
      </c>
      <c r="I427" s="54">
        <v>0.13</v>
      </c>
      <c r="J427" s="54">
        <v>340</v>
      </c>
      <c r="K427" s="54">
        <v>9520</v>
      </c>
      <c r="L427" s="54" t="str">
        <v>上海连城</v>
      </c>
      <c r="M427" s="80" t="str">
        <v>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28" ht="70" spans="1:13">
      <c r="A428" s="54">
        <v>0</v>
      </c>
      <c r="B428" s="54" t="str">
        <v>浮球开关</v>
      </c>
      <c r="C428" s="54">
        <v>0</v>
      </c>
      <c r="D428" s="54">
        <v>0</v>
      </c>
      <c r="E428" s="54">
        <v>0</v>
      </c>
      <c r="F428" s="54">
        <v>0</v>
      </c>
      <c r="G428" s="54">
        <v>0</v>
      </c>
      <c r="H428" s="54">
        <v>28</v>
      </c>
      <c r="I428" s="54">
        <v>0.13</v>
      </c>
      <c r="J428" s="54">
        <v>80</v>
      </c>
      <c r="K428" s="54">
        <v>2240</v>
      </c>
      <c r="L428" s="54" t="str">
        <v>上海连城</v>
      </c>
      <c r="M428" s="80" t="str">
        <v>配10米电缆线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29" ht="70" spans="1:13">
      <c r="A429" s="54">
        <v>0</v>
      </c>
      <c r="B429" s="54" t="str">
        <v>导杆</v>
      </c>
      <c r="C429" s="54" t="str">
        <v>DN32×3.5</v>
      </c>
      <c r="D429" s="54">
        <v>0</v>
      </c>
      <c r="E429" s="54">
        <v>0</v>
      </c>
      <c r="F429" s="54">
        <v>0</v>
      </c>
      <c r="G429" s="54">
        <v>0</v>
      </c>
      <c r="H429" s="54">
        <v>28</v>
      </c>
      <c r="I429" s="54">
        <v>0.13</v>
      </c>
      <c r="J429" s="54">
        <v>165</v>
      </c>
      <c r="K429" s="54">
        <v>4620</v>
      </c>
      <c r="L429" s="54" t="str">
        <v>上海连城</v>
      </c>
      <c r="M429" s="80" t="str">
        <v>3米镀锌导杆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30" ht="70" spans="1:13">
      <c r="A430" s="54">
        <v>0</v>
      </c>
      <c r="B430" s="54" t="str">
        <v>吊链</v>
      </c>
      <c r="C430" s="54" t="str">
        <v>6×18</v>
      </c>
      <c r="D430" s="54">
        <v>0</v>
      </c>
      <c r="E430" s="54">
        <v>0</v>
      </c>
      <c r="F430" s="54">
        <v>0</v>
      </c>
      <c r="G430" s="54">
        <v>0</v>
      </c>
      <c r="H430" s="54">
        <v>28</v>
      </c>
      <c r="I430" s="54">
        <v>0.13</v>
      </c>
      <c r="J430" s="54">
        <v>60</v>
      </c>
      <c r="K430" s="54">
        <v>1680</v>
      </c>
      <c r="L430" s="54" t="str">
        <v>上海连城</v>
      </c>
      <c r="M430" s="80" t="str">
        <v>3.5米铁链一根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31" ht="70" spans="1:13">
      <c r="A431" s="54">
        <v>2</v>
      </c>
      <c r="B431" s="54" t="str">
        <v>车库隔油沉砂废水集水井潜水排污泵</v>
      </c>
      <c r="C431" s="54" t="str">
        <v>50WQE20-15-1.5</v>
      </c>
      <c r="D431" s="54">
        <v>20</v>
      </c>
      <c r="E431" s="54">
        <v>15</v>
      </c>
      <c r="F431" s="54">
        <v>0</v>
      </c>
      <c r="G431" s="54">
        <v>1.5</v>
      </c>
      <c r="H431" s="54">
        <v>22</v>
      </c>
      <c r="I431" s="54">
        <v>0.13</v>
      </c>
      <c r="J431" s="54">
        <v>1220</v>
      </c>
      <c r="K431" s="54">
        <v>26840</v>
      </c>
      <c r="L431" s="54" t="str">
        <v>上海连城</v>
      </c>
      <c r="M431" s="80" t="str">
        <v>10米电缆线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32" ht="70" spans="1:13">
      <c r="A432" s="54">
        <v>0</v>
      </c>
      <c r="B432" s="54" t="str">
        <v>控制柜</v>
      </c>
      <c r="C432" s="54" t="str">
        <v>LEC-2ACS-1.5/B（主要元器件：正泰）</v>
      </c>
      <c r="D432" s="54">
        <v>0</v>
      </c>
      <c r="E432" s="54">
        <v>0</v>
      </c>
      <c r="F432" s="54">
        <v>0</v>
      </c>
      <c r="G432" s="54">
        <v>0</v>
      </c>
      <c r="H432" s="54">
        <v>11</v>
      </c>
      <c r="I432" s="54">
        <v>0.13</v>
      </c>
      <c r="J432" s="54">
        <v>1405</v>
      </c>
      <c r="K432" s="54">
        <v>15455</v>
      </c>
      <c r="L432" s="54" t="str">
        <v>上海连城</v>
      </c>
      <c r="M432" s="80" t="str">
        <v>一用一备；超高液位报警、二泵同时启动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33" ht="70" spans="1:13">
      <c r="A433" s="54">
        <v>0</v>
      </c>
      <c r="B433" s="54" t="str">
        <v>自耦</v>
      </c>
      <c r="C433" s="54" t="str">
        <v>GAK(II)-50</v>
      </c>
      <c r="D433" s="54">
        <v>0</v>
      </c>
      <c r="E433" s="54">
        <v>0</v>
      </c>
      <c r="F433" s="54">
        <v>0</v>
      </c>
      <c r="G433" s="54">
        <v>0</v>
      </c>
      <c r="H433" s="54">
        <v>22</v>
      </c>
      <c r="I433" s="54">
        <v>0.13</v>
      </c>
      <c r="J433" s="54">
        <v>340</v>
      </c>
      <c r="K433" s="54">
        <v>7480</v>
      </c>
      <c r="L433" s="54" t="str">
        <v>上海连城</v>
      </c>
      <c r="M433" s="80" t="str">
        <v>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34" ht="70" spans="1:13">
      <c r="A434" s="54">
        <v>0</v>
      </c>
      <c r="B434" s="54" t="str">
        <v>浮球开关</v>
      </c>
      <c r="C434" s="54">
        <v>0</v>
      </c>
      <c r="D434" s="54">
        <v>0</v>
      </c>
      <c r="E434" s="54">
        <v>0</v>
      </c>
      <c r="F434" s="54">
        <v>0</v>
      </c>
      <c r="G434" s="54">
        <v>0</v>
      </c>
      <c r="H434" s="54">
        <v>22</v>
      </c>
      <c r="I434" s="54">
        <v>0.13</v>
      </c>
      <c r="J434" s="54">
        <v>80</v>
      </c>
      <c r="K434" s="54">
        <v>1760</v>
      </c>
      <c r="L434" s="54" t="str">
        <v>上海连城</v>
      </c>
      <c r="M434" s="80" t="str">
        <v>配10米电缆线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35" ht="70" spans="1:13">
      <c r="A435" s="54">
        <v>0</v>
      </c>
      <c r="B435" s="54" t="str">
        <v>导杆</v>
      </c>
      <c r="C435" s="54" t="str">
        <v>DN32×3.5</v>
      </c>
      <c r="D435" s="54">
        <v>0</v>
      </c>
      <c r="E435" s="54">
        <v>0</v>
      </c>
      <c r="F435" s="54">
        <v>0</v>
      </c>
      <c r="G435" s="54">
        <v>0</v>
      </c>
      <c r="H435" s="54">
        <v>22</v>
      </c>
      <c r="I435" s="54">
        <v>0.13</v>
      </c>
      <c r="J435" s="54">
        <v>165</v>
      </c>
      <c r="K435" s="54">
        <v>3630</v>
      </c>
      <c r="L435" s="54" t="str">
        <v>上海连城</v>
      </c>
      <c r="M435" s="80" t="str">
        <v>3米镀锌导杆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36" ht="70" spans="1:13">
      <c r="A436" s="54">
        <v>0</v>
      </c>
      <c r="B436" s="54" t="str">
        <v>吊链</v>
      </c>
      <c r="C436" s="54" t="str">
        <v>6×18</v>
      </c>
      <c r="D436" s="54">
        <v>0</v>
      </c>
      <c r="E436" s="54">
        <v>0</v>
      </c>
      <c r="F436" s="54">
        <v>0</v>
      </c>
      <c r="G436" s="54">
        <v>0</v>
      </c>
      <c r="H436" s="54">
        <v>22</v>
      </c>
      <c r="I436" s="54">
        <v>0.13</v>
      </c>
      <c r="J436" s="54">
        <v>60</v>
      </c>
      <c r="K436" s="54">
        <v>1320</v>
      </c>
      <c r="L436" s="54" t="str">
        <v>上海连城</v>
      </c>
      <c r="M436" s="80" t="str">
        <v>3.5米铁链一根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37" ht="70" spans="1:13">
      <c r="A437" s="54">
        <v>3</v>
      </c>
      <c r="B437" s="54" t="str">
        <v>非机动车道排水集水井潜水排污泵</v>
      </c>
      <c r="C437" s="54" t="str">
        <v>50WQE20-15-1.5</v>
      </c>
      <c r="D437" s="54">
        <v>20</v>
      </c>
      <c r="E437" s="54">
        <v>15</v>
      </c>
      <c r="F437" s="54">
        <v>0</v>
      </c>
      <c r="G437" s="54">
        <v>1.5</v>
      </c>
      <c r="H437" s="54">
        <v>4</v>
      </c>
      <c r="I437" s="54">
        <v>0.13</v>
      </c>
      <c r="J437" s="54">
        <v>1220</v>
      </c>
      <c r="K437" s="54">
        <v>4880</v>
      </c>
      <c r="L437" s="54" t="str">
        <v>上海连城</v>
      </c>
      <c r="M437" s="80" t="str">
        <v>10米电缆线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38" ht="70" spans="1:13">
      <c r="A438" s="54">
        <v>0</v>
      </c>
      <c r="B438" s="54" t="str">
        <v>控制柜</v>
      </c>
      <c r="C438" s="54" t="str">
        <v>LEC-2ACS-1.5/B（主要元器件：正泰）</v>
      </c>
      <c r="D438" s="54">
        <v>0</v>
      </c>
      <c r="E438" s="54">
        <v>0</v>
      </c>
      <c r="F438" s="54">
        <v>0</v>
      </c>
      <c r="G438" s="54">
        <v>0</v>
      </c>
      <c r="H438" s="54">
        <v>2</v>
      </c>
      <c r="I438" s="54">
        <v>0.13</v>
      </c>
      <c r="J438" s="54">
        <v>1405</v>
      </c>
      <c r="K438" s="54">
        <v>2810</v>
      </c>
      <c r="L438" s="54" t="str">
        <v>上海连城</v>
      </c>
      <c r="M438" s="80" t="str">
        <v>一用一备；超高液位报警、二泵同时启动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39" ht="70" spans="1:13">
      <c r="A439" s="54">
        <v>0</v>
      </c>
      <c r="B439" s="54" t="str">
        <v>自耦</v>
      </c>
      <c r="C439" s="54" t="str">
        <v>GAK(II)-50</v>
      </c>
      <c r="D439" s="54">
        <v>0</v>
      </c>
      <c r="E439" s="54">
        <v>0</v>
      </c>
      <c r="F439" s="54">
        <v>0</v>
      </c>
      <c r="G439" s="54">
        <v>0</v>
      </c>
      <c r="H439" s="54">
        <v>4</v>
      </c>
      <c r="I439" s="54">
        <v>0.13</v>
      </c>
      <c r="J439" s="54">
        <v>340</v>
      </c>
      <c r="K439" s="54">
        <v>1360</v>
      </c>
      <c r="L439" s="54" t="str">
        <v>上海连城</v>
      </c>
      <c r="M439" s="80" t="str">
        <v>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40" ht="70" spans="1:13">
      <c r="A440" s="54">
        <v>0</v>
      </c>
      <c r="B440" s="54" t="str">
        <v>浮球开关</v>
      </c>
      <c r="C440" s="54">
        <v>0</v>
      </c>
      <c r="D440" s="54">
        <v>0</v>
      </c>
      <c r="E440" s="54">
        <v>0</v>
      </c>
      <c r="F440" s="54">
        <v>0</v>
      </c>
      <c r="G440" s="54">
        <v>0</v>
      </c>
      <c r="H440" s="54">
        <v>4</v>
      </c>
      <c r="I440" s="54">
        <v>0.13</v>
      </c>
      <c r="J440" s="54">
        <v>80</v>
      </c>
      <c r="K440" s="54">
        <v>320</v>
      </c>
      <c r="L440" s="54" t="str">
        <v>上海连城</v>
      </c>
      <c r="M440" s="80" t="str">
        <v>配10米电缆线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41" ht="70" spans="1:13">
      <c r="A441" s="54">
        <v>0</v>
      </c>
      <c r="B441" s="54" t="str">
        <v>导杆</v>
      </c>
      <c r="C441" s="54" t="str">
        <v>DN32×3.5</v>
      </c>
      <c r="D441" s="54">
        <v>0</v>
      </c>
      <c r="E441" s="54">
        <v>0</v>
      </c>
      <c r="F441" s="54">
        <v>0</v>
      </c>
      <c r="G441" s="54">
        <v>0</v>
      </c>
      <c r="H441" s="54">
        <v>4</v>
      </c>
      <c r="I441" s="54">
        <v>0.13</v>
      </c>
      <c r="J441" s="54">
        <v>165</v>
      </c>
      <c r="K441" s="54">
        <v>660</v>
      </c>
      <c r="L441" s="54" t="str">
        <v>上海连城</v>
      </c>
      <c r="M441" s="80" t="str">
        <v>3米镀锌导杆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42" ht="70" spans="1:13">
      <c r="A442" s="54">
        <v>0</v>
      </c>
      <c r="B442" s="54" t="str">
        <v>吊链</v>
      </c>
      <c r="C442" s="54" t="str">
        <v>6×18</v>
      </c>
      <c r="D442" s="54">
        <v>0</v>
      </c>
      <c r="E442" s="54">
        <v>0</v>
      </c>
      <c r="F442" s="54">
        <v>0</v>
      </c>
      <c r="G442" s="54">
        <v>0</v>
      </c>
      <c r="H442" s="54">
        <v>4</v>
      </c>
      <c r="I442" s="54">
        <v>0.13</v>
      </c>
      <c r="J442" s="54">
        <v>60</v>
      </c>
      <c r="K442" s="54">
        <v>240</v>
      </c>
      <c r="L442" s="54" t="str">
        <v>上海连城</v>
      </c>
      <c r="M442" s="80" t="str">
        <v>3.5米铁链一根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43" ht="70" spans="1:13">
      <c r="A443" s="54">
        <v>4</v>
      </c>
      <c r="B443" s="54" t="str">
        <v>汽车坡道排水集水井潜水排污泵</v>
      </c>
      <c r="C443" s="54" t="str">
        <v>80WQE50-15-4</v>
      </c>
      <c r="D443" s="54">
        <v>50</v>
      </c>
      <c r="E443" s="54">
        <v>15</v>
      </c>
      <c r="F443" s="54">
        <v>0</v>
      </c>
      <c r="G443" s="54">
        <v>4</v>
      </c>
      <c r="H443" s="54">
        <v>4</v>
      </c>
      <c r="I443" s="54">
        <v>0.13</v>
      </c>
      <c r="J443" s="54">
        <v>2030</v>
      </c>
      <c r="K443" s="54">
        <v>8120</v>
      </c>
      <c r="L443" s="54" t="str">
        <v>上海连城</v>
      </c>
      <c r="M443" s="80" t="str">
        <v>10米电缆线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44" ht="70" spans="1:13">
      <c r="A444" s="54">
        <v>0</v>
      </c>
      <c r="B444" s="54" t="str">
        <v>控制柜</v>
      </c>
      <c r="C444" s="54" t="str">
        <v>LEC-2ACS-4/B（主要元器件：正泰）</v>
      </c>
      <c r="D444" s="54">
        <v>0</v>
      </c>
      <c r="E444" s="54">
        <v>0</v>
      </c>
      <c r="F444" s="54">
        <v>0</v>
      </c>
      <c r="G444" s="54">
        <v>0</v>
      </c>
      <c r="H444" s="54">
        <v>2</v>
      </c>
      <c r="I444" s="54">
        <v>0.13</v>
      </c>
      <c r="J444" s="54">
        <v>1405</v>
      </c>
      <c r="K444" s="54">
        <v>2810</v>
      </c>
      <c r="L444" s="54" t="str">
        <v>上海连城</v>
      </c>
      <c r="M444" s="80" t="str">
        <v>一用一备；超高液位报警、二泵同时启动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45" ht="70" spans="1:13">
      <c r="A445" s="54">
        <v>0</v>
      </c>
      <c r="B445" s="54" t="str">
        <v>自耦</v>
      </c>
      <c r="C445" s="54" t="str">
        <v>GAK(II)-80</v>
      </c>
      <c r="D445" s="54">
        <v>0</v>
      </c>
      <c r="E445" s="54">
        <v>0</v>
      </c>
      <c r="F445" s="54">
        <v>0</v>
      </c>
      <c r="G445" s="54">
        <v>0</v>
      </c>
      <c r="H445" s="54">
        <v>4</v>
      </c>
      <c r="I445" s="54">
        <v>0.13</v>
      </c>
      <c r="J445" s="54">
        <v>590</v>
      </c>
      <c r="K445" s="54">
        <v>2360</v>
      </c>
      <c r="L445" s="54" t="str">
        <v>上海连城</v>
      </c>
      <c r="M445" s="80" t="str">
        <v>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46" ht="70" spans="1:13">
      <c r="A446" s="54">
        <v>0</v>
      </c>
      <c r="B446" s="54" t="str">
        <v>浮球开关</v>
      </c>
      <c r="C446" s="54">
        <v>0</v>
      </c>
      <c r="D446" s="54">
        <v>0</v>
      </c>
      <c r="E446" s="54">
        <v>0</v>
      </c>
      <c r="F446" s="54">
        <v>0</v>
      </c>
      <c r="G446" s="54">
        <v>0</v>
      </c>
      <c r="H446" s="54">
        <v>4</v>
      </c>
      <c r="I446" s="54">
        <v>0.13</v>
      </c>
      <c r="J446" s="54">
        <v>80</v>
      </c>
      <c r="K446" s="54">
        <v>320</v>
      </c>
      <c r="L446" s="54" t="str">
        <v>上海连城</v>
      </c>
      <c r="M446" s="80" t="str">
        <v>配10米电缆线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47" ht="70" spans="1:13">
      <c r="A447" s="54">
        <v>0</v>
      </c>
      <c r="B447" s="54" t="str">
        <v>导杆</v>
      </c>
      <c r="C447" s="54" t="str">
        <v>DN32×3.5</v>
      </c>
      <c r="D447" s="54">
        <v>0</v>
      </c>
      <c r="E447" s="54">
        <v>0</v>
      </c>
      <c r="F447" s="54">
        <v>0</v>
      </c>
      <c r="G447" s="54">
        <v>0</v>
      </c>
      <c r="H447" s="54">
        <v>4</v>
      </c>
      <c r="I447" s="54">
        <v>0.13</v>
      </c>
      <c r="J447" s="54">
        <v>165</v>
      </c>
      <c r="K447" s="54">
        <v>660</v>
      </c>
      <c r="L447" s="54" t="str">
        <v>上海连城</v>
      </c>
      <c r="M447" s="80" t="str">
        <v>3米镀锌导杆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48" ht="70" spans="1:13">
      <c r="A448" s="54">
        <v>0</v>
      </c>
      <c r="B448" s="54" t="str">
        <v>吊链</v>
      </c>
      <c r="C448" s="54" t="str">
        <v>6×18</v>
      </c>
      <c r="D448" s="54">
        <v>0</v>
      </c>
      <c r="E448" s="54">
        <v>0</v>
      </c>
      <c r="F448" s="54">
        <v>0</v>
      </c>
      <c r="G448" s="54">
        <v>0</v>
      </c>
      <c r="H448" s="54">
        <v>4</v>
      </c>
      <c r="I448" s="54">
        <v>0.13</v>
      </c>
      <c r="J448" s="54">
        <v>60</v>
      </c>
      <c r="K448" s="54">
        <v>240</v>
      </c>
      <c r="L448" s="54" t="str">
        <v>上海连城</v>
      </c>
      <c r="M448" s="80" t="str">
        <v>3.5米铁链一根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49" ht="70" spans="1:13">
      <c r="A449" s="54">
        <v>5</v>
      </c>
      <c r="B449" s="54" t="str">
        <v>下沉式广场排水集水井潜水排污泵</v>
      </c>
      <c r="C449" s="54" t="str">
        <v>80WQE50-25-5.5</v>
      </c>
      <c r="D449" s="54">
        <v>65</v>
      </c>
      <c r="E449" s="54">
        <v>15</v>
      </c>
      <c r="F449" s="54">
        <v>0</v>
      </c>
      <c r="G449" s="54">
        <v>5.5</v>
      </c>
      <c r="H449" s="54">
        <v>3</v>
      </c>
      <c r="I449" s="54">
        <v>0.13</v>
      </c>
      <c r="J449" s="54">
        <v>2650</v>
      </c>
      <c r="K449" s="54">
        <v>7950</v>
      </c>
      <c r="L449" s="54" t="str">
        <v>上海连城</v>
      </c>
      <c r="M449" s="80" t="str">
        <v>10米电缆线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50" ht="70" spans="1:13">
      <c r="A450" s="54">
        <v>0</v>
      </c>
      <c r="B450" s="54" t="str">
        <v>控制柜</v>
      </c>
      <c r="C450" s="54" t="str">
        <v>LEC-3ACS-5.5/B（主要元器件：正泰）</v>
      </c>
      <c r="D450" s="54">
        <v>0</v>
      </c>
      <c r="E450" s="54">
        <v>0</v>
      </c>
      <c r="F450" s="54">
        <v>0</v>
      </c>
      <c r="G450" s="54">
        <v>0</v>
      </c>
      <c r="H450" s="54">
        <v>1</v>
      </c>
      <c r="I450" s="54">
        <v>0.13</v>
      </c>
      <c r="J450" s="54">
        <v>2100</v>
      </c>
      <c r="K450" s="54">
        <v>2100</v>
      </c>
      <c r="L450" s="54" t="str">
        <v>上海连城</v>
      </c>
      <c r="M450" s="80" t="str">
        <v>二用一备；超高液位报警、三泵同时启动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51" ht="70" spans="1:13">
      <c r="A451" s="54">
        <v>0</v>
      </c>
      <c r="B451" s="54" t="str">
        <v>自耦</v>
      </c>
      <c r="C451" s="54" t="str">
        <v>GAK(II)-80</v>
      </c>
      <c r="D451" s="54">
        <v>0</v>
      </c>
      <c r="E451" s="54">
        <v>0</v>
      </c>
      <c r="F451" s="54">
        <v>0</v>
      </c>
      <c r="G451" s="54">
        <v>0</v>
      </c>
      <c r="H451" s="54">
        <v>3</v>
      </c>
      <c r="I451" s="54">
        <v>0.13</v>
      </c>
      <c r="J451" s="54">
        <v>590</v>
      </c>
      <c r="K451" s="54">
        <v>1770</v>
      </c>
      <c r="L451" s="54" t="str">
        <v>上海连城</v>
      </c>
      <c r="M451" s="80" t="str">
        <v>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52" ht="70" spans="1:13">
      <c r="A452" s="54">
        <v>0</v>
      </c>
      <c r="B452" s="54" t="str">
        <v>浮球开关</v>
      </c>
      <c r="C452" s="54">
        <v>0</v>
      </c>
      <c r="D452" s="54">
        <v>0</v>
      </c>
      <c r="E452" s="54">
        <v>0</v>
      </c>
      <c r="F452" s="54">
        <v>0</v>
      </c>
      <c r="G452" s="54">
        <v>0</v>
      </c>
      <c r="H452" s="54">
        <v>3</v>
      </c>
      <c r="I452" s="54">
        <v>0.13</v>
      </c>
      <c r="J452" s="54">
        <v>80</v>
      </c>
      <c r="K452" s="54">
        <v>240</v>
      </c>
      <c r="L452" s="54" t="str">
        <v>上海连城</v>
      </c>
      <c r="M452" s="80" t="str">
        <v>配10米电缆线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53" ht="70" spans="1:13">
      <c r="A453" s="54">
        <v>0</v>
      </c>
      <c r="B453" s="54" t="str">
        <v>导杆</v>
      </c>
      <c r="C453" s="54" t="str">
        <v>DN32×3.5</v>
      </c>
      <c r="D453" s="54">
        <v>0</v>
      </c>
      <c r="E453" s="54">
        <v>0</v>
      </c>
      <c r="F453" s="54">
        <v>0</v>
      </c>
      <c r="G453" s="54">
        <v>0</v>
      </c>
      <c r="H453" s="54">
        <v>3</v>
      </c>
      <c r="I453" s="54">
        <v>0.13</v>
      </c>
      <c r="J453" s="54">
        <v>165</v>
      </c>
      <c r="K453" s="54">
        <v>495</v>
      </c>
      <c r="L453" s="54" t="str">
        <v>上海连城</v>
      </c>
      <c r="M453" s="80" t="str">
        <v>3米镀锌导杆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54" ht="70" spans="1:13">
      <c r="A454" s="54">
        <v>0</v>
      </c>
      <c r="B454" s="54" t="str">
        <v>吊链</v>
      </c>
      <c r="C454" s="54" t="str">
        <v>6×18</v>
      </c>
      <c r="D454" s="54">
        <v>0</v>
      </c>
      <c r="E454" s="54">
        <v>0</v>
      </c>
      <c r="F454" s="54">
        <v>0</v>
      </c>
      <c r="G454" s="54">
        <v>0</v>
      </c>
      <c r="H454" s="54">
        <v>3</v>
      </c>
      <c r="I454" s="54">
        <v>0.13</v>
      </c>
      <c r="J454" s="54">
        <v>60</v>
      </c>
      <c r="K454" s="54">
        <v>180</v>
      </c>
      <c r="L454" s="54" t="str">
        <v>上海连城</v>
      </c>
      <c r="M454" s="80" t="str">
        <v>3.5米铁链一根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55" ht="70" spans="1:13">
      <c r="A455" s="54">
        <v>6</v>
      </c>
      <c r="B455" s="54" t="str">
        <v>楼梯间排水集水井潜水排污泵</v>
      </c>
      <c r="C455" s="54" t="str">
        <v>50WQE20-15-1.5</v>
      </c>
      <c r="D455" s="54">
        <v>15</v>
      </c>
      <c r="E455" s="54">
        <v>15</v>
      </c>
      <c r="F455" s="54">
        <v>0</v>
      </c>
      <c r="G455" s="54">
        <v>1.5</v>
      </c>
      <c r="H455" s="54">
        <v>2</v>
      </c>
      <c r="I455" s="54">
        <v>0.13</v>
      </c>
      <c r="J455" s="54">
        <v>1220</v>
      </c>
      <c r="K455" s="54">
        <v>2440</v>
      </c>
      <c r="L455" s="54" t="str">
        <v>上海连城</v>
      </c>
      <c r="M455" s="80" t="str">
        <v>10米电缆线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56" ht="70" spans="1:13">
      <c r="A456" s="54">
        <v>0</v>
      </c>
      <c r="B456" s="54" t="str">
        <v>控制柜</v>
      </c>
      <c r="C456" s="54" t="str">
        <v>LEC-2ACS-1.5/B（主要元器件：正泰）</v>
      </c>
      <c r="D456" s="54">
        <v>0</v>
      </c>
      <c r="E456" s="54">
        <v>0</v>
      </c>
      <c r="F456" s="54">
        <v>0</v>
      </c>
      <c r="G456" s="54">
        <v>0</v>
      </c>
      <c r="H456" s="54">
        <v>1</v>
      </c>
      <c r="I456" s="54">
        <v>0.13</v>
      </c>
      <c r="J456" s="54">
        <v>1405</v>
      </c>
      <c r="K456" s="54">
        <v>1405</v>
      </c>
      <c r="L456" s="54" t="str">
        <v>上海连城</v>
      </c>
      <c r="M456" s="80" t="str">
        <v>一用一备；超高液位报警、二泵同时启动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57" ht="70" spans="1:13">
      <c r="A457" s="54">
        <v>0</v>
      </c>
      <c r="B457" s="54" t="str">
        <v>自耦</v>
      </c>
      <c r="C457" s="54" t="str">
        <v>GAK(II)-50</v>
      </c>
      <c r="D457" s="54">
        <v>0</v>
      </c>
      <c r="E457" s="54">
        <v>0</v>
      </c>
      <c r="F457" s="54">
        <v>0</v>
      </c>
      <c r="G457" s="54">
        <v>0</v>
      </c>
      <c r="H457" s="54">
        <v>2</v>
      </c>
      <c r="I457" s="54">
        <v>0.13</v>
      </c>
      <c r="J457" s="54">
        <v>340</v>
      </c>
      <c r="K457" s="54">
        <v>680</v>
      </c>
      <c r="L457" s="54" t="str">
        <v>上海连城</v>
      </c>
      <c r="M457" s="80" t="str">
        <v>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58" ht="70" spans="1:13">
      <c r="A458" s="54">
        <v>0</v>
      </c>
      <c r="B458" s="54" t="str">
        <v>浮球开关</v>
      </c>
      <c r="C458" s="54">
        <v>0</v>
      </c>
      <c r="D458" s="54">
        <v>0</v>
      </c>
      <c r="E458" s="54">
        <v>0</v>
      </c>
      <c r="F458" s="54">
        <v>0</v>
      </c>
      <c r="G458" s="54">
        <v>0</v>
      </c>
      <c r="H458" s="54">
        <v>2</v>
      </c>
      <c r="I458" s="54">
        <v>0.13</v>
      </c>
      <c r="J458" s="54">
        <v>80</v>
      </c>
      <c r="K458" s="54">
        <v>160</v>
      </c>
      <c r="L458" s="54" t="str">
        <v>上海连城</v>
      </c>
      <c r="M458" s="80" t="str">
        <v>配10米电缆线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59" ht="70" spans="1:13">
      <c r="A459" s="54">
        <v>0</v>
      </c>
      <c r="B459" s="54" t="str">
        <v>导杆</v>
      </c>
      <c r="C459" s="54" t="str">
        <v>DN32×3.5</v>
      </c>
      <c r="D459" s="54">
        <v>0</v>
      </c>
      <c r="E459" s="54">
        <v>0</v>
      </c>
      <c r="F459" s="54">
        <v>0</v>
      </c>
      <c r="G459" s="54">
        <v>0</v>
      </c>
      <c r="H459" s="54">
        <v>2</v>
      </c>
      <c r="I459" s="54">
        <v>0.13</v>
      </c>
      <c r="J459" s="54">
        <v>165</v>
      </c>
      <c r="K459" s="54">
        <v>330</v>
      </c>
      <c r="L459" s="54" t="str">
        <v>上海连城</v>
      </c>
      <c r="M459" s="80" t="str">
        <v>3米镀锌导杆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60" ht="70" spans="1:13">
      <c r="A460" s="54">
        <v>0</v>
      </c>
      <c r="B460" s="54" t="str">
        <v>吊链</v>
      </c>
      <c r="C460" s="54" t="str">
        <v>6×18</v>
      </c>
      <c r="D460" s="54">
        <v>0</v>
      </c>
      <c r="E460" s="54">
        <v>0</v>
      </c>
      <c r="F460" s="54">
        <v>0</v>
      </c>
      <c r="G460" s="54">
        <v>0</v>
      </c>
      <c r="H460" s="54">
        <v>2</v>
      </c>
      <c r="I460" s="54">
        <v>0.13</v>
      </c>
      <c r="J460" s="54">
        <v>60</v>
      </c>
      <c r="K460" s="54">
        <v>120</v>
      </c>
      <c r="L460" s="54" t="str">
        <v>上海连城</v>
      </c>
      <c r="M460" s="80" t="str">
        <v>3.5米铁链一根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61" ht="70" spans="1:13">
      <c r="A461" s="54">
        <v>7</v>
      </c>
      <c r="B461" s="54" t="str">
        <v>机房排水集水井潜水排污泵</v>
      </c>
      <c r="C461" s="54" t="str">
        <v>80WQE50-15-4</v>
      </c>
      <c r="D461" s="54">
        <v>40</v>
      </c>
      <c r="E461" s="54">
        <v>14</v>
      </c>
      <c r="F461" s="54">
        <v>0</v>
      </c>
      <c r="G461" s="54">
        <v>4</v>
      </c>
      <c r="H461" s="54">
        <v>10</v>
      </c>
      <c r="I461" s="54">
        <v>0.13</v>
      </c>
      <c r="J461" s="54">
        <v>2030</v>
      </c>
      <c r="K461" s="54">
        <v>20300</v>
      </c>
      <c r="L461" s="54" t="str">
        <v>上海连城</v>
      </c>
      <c r="M461" s="80" t="str">
        <v>10米电缆线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62" ht="70" spans="1:13">
      <c r="A462" s="54">
        <v>0</v>
      </c>
      <c r="B462" s="54" t="str">
        <v>控制柜</v>
      </c>
      <c r="C462" s="54" t="str">
        <v>LEC-2ACS-4/B（主要元器件：正泰）</v>
      </c>
      <c r="D462" s="54">
        <v>0</v>
      </c>
      <c r="E462" s="54">
        <v>0</v>
      </c>
      <c r="F462" s="54">
        <v>0</v>
      </c>
      <c r="G462" s="54">
        <v>0</v>
      </c>
      <c r="H462" s="54">
        <v>5</v>
      </c>
      <c r="I462" s="54">
        <v>0.13</v>
      </c>
      <c r="J462" s="54">
        <v>1405</v>
      </c>
      <c r="K462" s="54">
        <v>7025</v>
      </c>
      <c r="L462" s="54" t="str">
        <v>上海连城</v>
      </c>
      <c r="M462" s="80" t="str">
        <v>一用一备；超高液位报警、二泵同时启动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63" ht="70" spans="1:13">
      <c r="A463" s="54">
        <v>0</v>
      </c>
      <c r="B463" s="54" t="str">
        <v>自耦</v>
      </c>
      <c r="C463" s="54" t="str">
        <v>GAK(II)-80</v>
      </c>
      <c r="D463" s="54">
        <v>0</v>
      </c>
      <c r="E463" s="54">
        <v>0</v>
      </c>
      <c r="F463" s="54">
        <v>0</v>
      </c>
      <c r="G463" s="54">
        <v>0</v>
      </c>
      <c r="H463" s="54">
        <v>10</v>
      </c>
      <c r="I463" s="54">
        <v>0.13</v>
      </c>
      <c r="J463" s="54">
        <v>590</v>
      </c>
      <c r="K463" s="54">
        <v>5900</v>
      </c>
      <c r="L463" s="54" t="str">
        <v>上海连城</v>
      </c>
      <c r="M463" s="80" t="str">
        <v>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64" ht="70" spans="1:13">
      <c r="A464" s="54">
        <v>0</v>
      </c>
      <c r="B464" s="54" t="str">
        <v>浮球开关</v>
      </c>
      <c r="C464" s="54">
        <v>0</v>
      </c>
      <c r="D464" s="54">
        <v>0</v>
      </c>
      <c r="E464" s="54">
        <v>0</v>
      </c>
      <c r="F464" s="54">
        <v>0</v>
      </c>
      <c r="G464" s="54">
        <v>0</v>
      </c>
      <c r="H464" s="54">
        <v>10</v>
      </c>
      <c r="I464" s="54">
        <v>0.13</v>
      </c>
      <c r="J464" s="54">
        <v>80</v>
      </c>
      <c r="K464" s="54">
        <v>800</v>
      </c>
      <c r="L464" s="54" t="str">
        <v>上海连城</v>
      </c>
      <c r="M464" s="80" t="str">
        <v>配10米电缆线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65" ht="70" spans="1:13">
      <c r="A465" s="54">
        <v>0</v>
      </c>
      <c r="B465" s="54" t="str">
        <v>导杆</v>
      </c>
      <c r="C465" s="54" t="str">
        <v>DN32×3.5</v>
      </c>
      <c r="D465" s="54">
        <v>0</v>
      </c>
      <c r="E465" s="54">
        <v>0</v>
      </c>
      <c r="F465" s="54">
        <v>0</v>
      </c>
      <c r="G465" s="54">
        <v>0</v>
      </c>
      <c r="H465" s="54">
        <v>10</v>
      </c>
      <c r="I465" s="54">
        <v>0.13</v>
      </c>
      <c r="J465" s="54">
        <v>165</v>
      </c>
      <c r="K465" s="54">
        <v>1650</v>
      </c>
      <c r="L465" s="54" t="str">
        <v>上海连城</v>
      </c>
      <c r="M465" s="80" t="str">
        <v>3米镀锌导杆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66" ht="70" spans="1:13">
      <c r="A466" s="54">
        <v>0</v>
      </c>
      <c r="B466" s="54" t="str">
        <v>吊链</v>
      </c>
      <c r="C466" s="54" t="str">
        <v>6×18</v>
      </c>
      <c r="D466" s="54">
        <v>0</v>
      </c>
      <c r="E466" s="54">
        <v>0</v>
      </c>
      <c r="F466" s="54">
        <v>0</v>
      </c>
      <c r="G466" s="54">
        <v>0</v>
      </c>
      <c r="H466" s="54">
        <v>10</v>
      </c>
      <c r="I466" s="54">
        <v>0.13</v>
      </c>
      <c r="J466" s="54">
        <v>60</v>
      </c>
      <c r="K466" s="54">
        <v>600</v>
      </c>
      <c r="L466" s="54" t="str">
        <v>上海连城</v>
      </c>
      <c r="M466" s="80" t="str">
        <v>3.5米铁链一根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67" ht="70" spans="1:13">
      <c r="A467" s="54">
        <v>8</v>
      </c>
      <c r="B467" s="54" t="str">
        <v>空调机房排水集水井潜水排污泵</v>
      </c>
      <c r="C467" s="54" t="str">
        <v>50WQE20-15-1.5</v>
      </c>
      <c r="D467" s="54">
        <v>20</v>
      </c>
      <c r="E467" s="54">
        <v>15</v>
      </c>
      <c r="F467" s="54">
        <v>0</v>
      </c>
      <c r="G467" s="54">
        <v>1.5</v>
      </c>
      <c r="H467" s="54">
        <v>4</v>
      </c>
      <c r="I467" s="54">
        <v>0.13</v>
      </c>
      <c r="J467" s="54">
        <v>1220</v>
      </c>
      <c r="K467" s="54">
        <v>4880</v>
      </c>
      <c r="L467" s="54" t="str">
        <v>上海连城</v>
      </c>
      <c r="M467" s="80" t="str">
        <v>10米电缆线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68" ht="70" spans="1:13">
      <c r="A468" s="54">
        <v>0</v>
      </c>
      <c r="B468" s="54" t="str">
        <v>控制柜</v>
      </c>
      <c r="C468" s="54" t="str">
        <v>LEC-2ACS-1.5/B（主要元器件：正泰）</v>
      </c>
      <c r="D468" s="54">
        <v>0</v>
      </c>
      <c r="E468" s="54">
        <v>0</v>
      </c>
      <c r="F468" s="54">
        <v>0</v>
      </c>
      <c r="G468" s="54">
        <v>0</v>
      </c>
      <c r="H468" s="54">
        <v>2</v>
      </c>
      <c r="I468" s="54">
        <v>0.13</v>
      </c>
      <c r="J468" s="54">
        <v>1405</v>
      </c>
      <c r="K468" s="54">
        <v>2810</v>
      </c>
      <c r="L468" s="54" t="str">
        <v>上海连城</v>
      </c>
      <c r="M468" s="80" t="str">
        <v>一用一备；超高液位报警、二泵同时启动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69" ht="70" spans="1:13">
      <c r="A469" s="54">
        <v>0</v>
      </c>
      <c r="B469" s="54" t="str">
        <v>自耦</v>
      </c>
      <c r="C469" s="54" t="str">
        <v>GAK(II)-50</v>
      </c>
      <c r="D469" s="54">
        <v>0</v>
      </c>
      <c r="E469" s="54">
        <v>0</v>
      </c>
      <c r="F469" s="54">
        <v>0</v>
      </c>
      <c r="G469" s="54">
        <v>0</v>
      </c>
      <c r="H469" s="54">
        <v>4</v>
      </c>
      <c r="I469" s="54">
        <v>0.13</v>
      </c>
      <c r="J469" s="54">
        <v>340</v>
      </c>
      <c r="K469" s="54">
        <v>1360</v>
      </c>
      <c r="L469" s="54" t="str">
        <v>上海连城</v>
      </c>
      <c r="M469" s="80" t="str">
        <v>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70" ht="70" spans="1:13">
      <c r="A470" s="54">
        <v>0</v>
      </c>
      <c r="B470" s="54" t="str">
        <v>浮球开关</v>
      </c>
      <c r="C470" s="54">
        <v>0</v>
      </c>
      <c r="D470" s="54">
        <v>0</v>
      </c>
      <c r="E470" s="54">
        <v>0</v>
      </c>
      <c r="F470" s="54">
        <v>0</v>
      </c>
      <c r="G470" s="54">
        <v>0</v>
      </c>
      <c r="H470" s="54">
        <v>4</v>
      </c>
      <c r="I470" s="54">
        <v>0.13</v>
      </c>
      <c r="J470" s="54">
        <v>80</v>
      </c>
      <c r="K470" s="54">
        <v>320</v>
      </c>
      <c r="L470" s="54" t="str">
        <v>上海连城</v>
      </c>
      <c r="M470" s="80" t="str">
        <v>配10米电缆线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71" ht="70" spans="1:13">
      <c r="A471" s="54">
        <v>0</v>
      </c>
      <c r="B471" s="54" t="str">
        <v>导杆</v>
      </c>
      <c r="C471" s="54" t="str">
        <v>DN32×3.5</v>
      </c>
      <c r="D471" s="54">
        <v>0</v>
      </c>
      <c r="E471" s="54">
        <v>0</v>
      </c>
      <c r="F471" s="54">
        <v>0</v>
      </c>
      <c r="G471" s="54">
        <v>0</v>
      </c>
      <c r="H471" s="54">
        <v>4</v>
      </c>
      <c r="I471" s="54">
        <v>0.13</v>
      </c>
      <c r="J471" s="54">
        <v>165</v>
      </c>
      <c r="K471" s="54">
        <v>660</v>
      </c>
      <c r="L471" s="54" t="str">
        <v>上海连城</v>
      </c>
      <c r="M471" s="80" t="str">
        <v>3米镀锌导杆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72" ht="70" spans="1:13">
      <c r="A472" s="54">
        <v>0</v>
      </c>
      <c r="B472" s="54" t="str">
        <v>吊链</v>
      </c>
      <c r="C472" s="54" t="str">
        <v>6×18</v>
      </c>
      <c r="D472" s="54">
        <v>0</v>
      </c>
      <c r="E472" s="54">
        <v>0</v>
      </c>
      <c r="F472" s="54">
        <v>0</v>
      </c>
      <c r="G472" s="54">
        <v>0</v>
      </c>
      <c r="H472" s="54">
        <v>4</v>
      </c>
      <c r="I472" s="54">
        <v>0.13</v>
      </c>
      <c r="J472" s="54">
        <v>60</v>
      </c>
      <c r="K472" s="54">
        <v>240</v>
      </c>
      <c r="L472" s="54" t="str">
        <v>上海连城</v>
      </c>
      <c r="M472" s="80" t="str">
        <v>3.5米铁链一根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73" ht="70" spans="1:13">
      <c r="A473" s="54">
        <v>9</v>
      </c>
      <c r="B473" s="54" t="str">
        <v>消防电梯排水集水井潜水排污泵</v>
      </c>
      <c r="C473" s="54" t="str">
        <v>65WQE30-22-4</v>
      </c>
      <c r="D473" s="54">
        <v>36</v>
      </c>
      <c r="E473" s="54">
        <v>17</v>
      </c>
      <c r="F473" s="54">
        <v>0</v>
      </c>
      <c r="G473" s="54">
        <v>4</v>
      </c>
      <c r="H473" s="54">
        <v>6</v>
      </c>
      <c r="I473" s="54">
        <v>0.13</v>
      </c>
      <c r="J473" s="54">
        <v>1660</v>
      </c>
      <c r="K473" s="54">
        <v>9960</v>
      </c>
      <c r="L473" s="54" t="str">
        <v>上海连城</v>
      </c>
      <c r="M473" s="80" t="str">
        <v>10米电缆线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74" ht="84" spans="1:13">
      <c r="A474" s="54">
        <v>0</v>
      </c>
      <c r="B474" s="54" t="str">
        <v>控制柜</v>
      </c>
      <c r="C474" s="54" t="str">
        <v>LEC-2ACS-4/B-D（主要元器件：正泰）</v>
      </c>
      <c r="D474" s="54">
        <v>0</v>
      </c>
      <c r="E474" s="54">
        <v>0</v>
      </c>
      <c r="F474" s="54">
        <v>0</v>
      </c>
      <c r="G474" s="54">
        <v>0</v>
      </c>
      <c r="H474" s="54">
        <v>3</v>
      </c>
      <c r="I474" s="54">
        <v>0.13</v>
      </c>
      <c r="J474" s="54">
        <v>2560</v>
      </c>
      <c r="K474" s="54">
        <v>7680</v>
      </c>
      <c r="L474" s="54" t="str">
        <v>上海连城</v>
      </c>
      <c r="M474" s="80" t="str">
        <v>双电源，一用一备；超高液位报警、二泵同时启动，含双电源国产系列CB级。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75" ht="70" spans="1:13">
      <c r="A475" s="54">
        <v>0</v>
      </c>
      <c r="B475" s="54" t="str">
        <v>自耦</v>
      </c>
      <c r="C475" s="54" t="str">
        <v>GAK(II)-65</v>
      </c>
      <c r="D475" s="54">
        <v>0</v>
      </c>
      <c r="E475" s="54">
        <v>0</v>
      </c>
      <c r="F475" s="54">
        <v>0</v>
      </c>
      <c r="G475" s="54">
        <v>0</v>
      </c>
      <c r="H475" s="54">
        <v>6</v>
      </c>
      <c r="I475" s="54">
        <v>0.13</v>
      </c>
      <c r="J475" s="54">
        <v>410</v>
      </c>
      <c r="K475" s="54">
        <v>2460</v>
      </c>
      <c r="L475" s="54" t="str">
        <v>上海连城</v>
      </c>
      <c r="M475" s="80" t="str">
        <v>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76" ht="70" spans="1:13">
      <c r="A476" s="54">
        <v>0</v>
      </c>
      <c r="B476" s="54" t="str">
        <v>浮球开关</v>
      </c>
      <c r="C476" s="54">
        <v>0</v>
      </c>
      <c r="D476" s="54">
        <v>0</v>
      </c>
      <c r="E476" s="54">
        <v>0</v>
      </c>
      <c r="F476" s="54">
        <v>0</v>
      </c>
      <c r="G476" s="54">
        <v>0</v>
      </c>
      <c r="H476" s="54">
        <v>6</v>
      </c>
      <c r="I476" s="54">
        <v>0.13</v>
      </c>
      <c r="J476" s="54">
        <v>80</v>
      </c>
      <c r="K476" s="54">
        <v>480</v>
      </c>
      <c r="L476" s="54" t="str">
        <v>上海连城</v>
      </c>
      <c r="M476" s="80" t="str">
        <v>配10米电缆线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77" ht="70" spans="1:13">
      <c r="A477" s="54">
        <v>0</v>
      </c>
      <c r="B477" s="54" t="str">
        <v>导杆</v>
      </c>
      <c r="C477" s="54" t="str">
        <v>DN32×3.5</v>
      </c>
      <c r="D477" s="54">
        <v>0</v>
      </c>
      <c r="E477" s="54">
        <v>0</v>
      </c>
      <c r="F477" s="54">
        <v>0</v>
      </c>
      <c r="G477" s="54">
        <v>0</v>
      </c>
      <c r="H477" s="54">
        <v>6</v>
      </c>
      <c r="I477" s="54">
        <v>0.13</v>
      </c>
      <c r="J477" s="54">
        <v>165</v>
      </c>
      <c r="K477" s="54">
        <v>990</v>
      </c>
      <c r="L477" s="54" t="str">
        <v>上海连城</v>
      </c>
      <c r="M477" s="80" t="str">
        <v>3米镀锌导杆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78" ht="70" spans="1:13">
      <c r="A478" s="54">
        <v>0</v>
      </c>
      <c r="B478" s="54" t="str">
        <v>吊链</v>
      </c>
      <c r="C478" s="54" t="str">
        <v>6×18</v>
      </c>
      <c r="D478" s="54">
        <v>0</v>
      </c>
      <c r="E478" s="54">
        <v>0</v>
      </c>
      <c r="F478" s="54">
        <v>0</v>
      </c>
      <c r="G478" s="54">
        <v>0</v>
      </c>
      <c r="H478" s="54">
        <v>6</v>
      </c>
      <c r="I478" s="54">
        <v>0.13</v>
      </c>
      <c r="J478" s="54">
        <v>60</v>
      </c>
      <c r="K478" s="54">
        <v>360</v>
      </c>
      <c r="L478" s="54" t="str">
        <v>上海连城</v>
      </c>
      <c r="M478" s="80" t="str">
        <v>3.5米铁链一根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79" ht="70" spans="1:13">
      <c r="A479" s="54">
        <v>10</v>
      </c>
      <c r="B479" s="54" t="str">
        <v>消防水泵房集水井潜水排污泵</v>
      </c>
      <c r="C479" s="54" t="str">
        <v>80WQE50-20-5.5</v>
      </c>
      <c r="D479" s="54">
        <v>55</v>
      </c>
      <c r="E479" s="54">
        <v>15</v>
      </c>
      <c r="F479" s="54">
        <v>0</v>
      </c>
      <c r="G479" s="54">
        <v>5.5</v>
      </c>
      <c r="H479" s="54">
        <v>4</v>
      </c>
      <c r="I479" s="54">
        <v>0.13</v>
      </c>
      <c r="J479" s="54">
        <v>2650</v>
      </c>
      <c r="K479" s="54">
        <v>10600</v>
      </c>
      <c r="L479" s="54" t="str">
        <v>上海连城</v>
      </c>
      <c r="M479" s="80" t="str">
        <v>10米电缆线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80" ht="84" spans="1:13">
      <c r="A480" s="54">
        <v>0</v>
      </c>
      <c r="B480" s="54" t="str">
        <v>控制柜</v>
      </c>
      <c r="C480" s="54" t="str">
        <v>LEC-4ACS-5.5/B-D（主要元器件：正泰）</v>
      </c>
      <c r="D480" s="54">
        <v>0</v>
      </c>
      <c r="E480" s="54">
        <v>0</v>
      </c>
      <c r="F480" s="54">
        <v>0</v>
      </c>
      <c r="G480" s="54">
        <v>0</v>
      </c>
      <c r="H480" s="54">
        <v>1</v>
      </c>
      <c r="I480" s="54">
        <v>0.13</v>
      </c>
      <c r="J480" s="54">
        <v>4800</v>
      </c>
      <c r="K480" s="54">
        <v>4800</v>
      </c>
      <c r="L480" s="54" t="str">
        <v>上海连城</v>
      </c>
      <c r="M480" s="80" t="str">
        <v>双电源，一用一备；超高液位报警、二泵同时启动，含双电源国产系列CB级。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81" ht="70" spans="1:13">
      <c r="A481" s="54">
        <v>0</v>
      </c>
      <c r="B481" s="54" t="str">
        <v>自耦</v>
      </c>
      <c r="C481" s="54" t="str">
        <v>GAK(II)-80</v>
      </c>
      <c r="D481" s="54">
        <v>0</v>
      </c>
      <c r="E481" s="54">
        <v>0</v>
      </c>
      <c r="F481" s="54">
        <v>0</v>
      </c>
      <c r="G481" s="54">
        <v>0</v>
      </c>
      <c r="H481" s="54">
        <v>4</v>
      </c>
      <c r="I481" s="54">
        <v>0.13</v>
      </c>
      <c r="J481" s="54">
        <v>590</v>
      </c>
      <c r="K481" s="54">
        <v>2360</v>
      </c>
      <c r="L481" s="54" t="str">
        <v>上海连城</v>
      </c>
      <c r="M481" s="80" t="str">
        <v>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82" ht="70" spans="1:13">
      <c r="A482" s="54">
        <v>0</v>
      </c>
      <c r="B482" s="54" t="str">
        <v>浮球开关</v>
      </c>
      <c r="C482" s="54">
        <v>0</v>
      </c>
      <c r="D482" s="54">
        <v>0</v>
      </c>
      <c r="E482" s="54">
        <v>0</v>
      </c>
      <c r="F482" s="54">
        <v>0</v>
      </c>
      <c r="G482" s="54">
        <v>0</v>
      </c>
      <c r="H482" s="54">
        <v>4</v>
      </c>
      <c r="I482" s="54">
        <v>0.13</v>
      </c>
      <c r="J482" s="54">
        <v>80</v>
      </c>
      <c r="K482" s="54">
        <v>320</v>
      </c>
      <c r="L482" s="54" t="str">
        <v>上海连城</v>
      </c>
      <c r="M482" s="80" t="str">
        <v>配10米电缆线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83" ht="70" spans="1:13">
      <c r="A483" s="54">
        <v>0</v>
      </c>
      <c r="B483" s="54" t="str">
        <v>导杆</v>
      </c>
      <c r="C483" s="54" t="str">
        <v>DN32×3.5</v>
      </c>
      <c r="D483" s="54">
        <v>0</v>
      </c>
      <c r="E483" s="54">
        <v>0</v>
      </c>
      <c r="F483" s="54">
        <v>0</v>
      </c>
      <c r="G483" s="54">
        <v>0</v>
      </c>
      <c r="H483" s="54">
        <v>4</v>
      </c>
      <c r="I483" s="54">
        <v>0.13</v>
      </c>
      <c r="J483" s="54">
        <v>165</v>
      </c>
      <c r="K483" s="54">
        <v>660</v>
      </c>
      <c r="L483" s="54" t="str">
        <v>上海连城</v>
      </c>
      <c r="M483" s="80" t="str">
        <v>3米镀锌导杆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84" ht="70" spans="1:13">
      <c r="A484" s="54">
        <v>0</v>
      </c>
      <c r="B484" s="54" t="str">
        <v>吊链</v>
      </c>
      <c r="C484" s="54" t="str">
        <v>6×18</v>
      </c>
      <c r="D484" s="54">
        <v>0</v>
      </c>
      <c r="E484" s="54">
        <v>0</v>
      </c>
      <c r="F484" s="54">
        <v>0</v>
      </c>
      <c r="G484" s="54">
        <v>0</v>
      </c>
      <c r="H484" s="54">
        <v>4</v>
      </c>
      <c r="I484" s="54">
        <v>0.13</v>
      </c>
      <c r="J484" s="54">
        <v>60</v>
      </c>
      <c r="K484" s="54">
        <v>240</v>
      </c>
      <c r="L484" s="54" t="str">
        <v>上海连城</v>
      </c>
      <c r="M484" s="80" t="str">
        <v>3.5米铁链一根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85" ht="70" spans="1:13">
      <c r="A485" s="54">
        <v>11</v>
      </c>
      <c r="B485" s="54" t="str">
        <v>消防报警阀间排水集水井潜水排污泵</v>
      </c>
      <c r="C485" s="54" t="str">
        <v>80WQE50-15-4</v>
      </c>
      <c r="D485" s="54">
        <v>50</v>
      </c>
      <c r="E485" s="54">
        <v>15</v>
      </c>
      <c r="F485" s="54">
        <v>0</v>
      </c>
      <c r="G485" s="54">
        <v>4</v>
      </c>
      <c r="H485" s="54">
        <v>4</v>
      </c>
      <c r="I485" s="54">
        <v>0.13</v>
      </c>
      <c r="J485" s="54">
        <v>2030</v>
      </c>
      <c r="K485" s="54">
        <v>8120</v>
      </c>
      <c r="L485" s="54" t="str">
        <v>上海连城</v>
      </c>
      <c r="M485" s="80" t="str">
        <v>10米电缆线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86" ht="84" spans="1:13">
      <c r="A486" s="54">
        <v>0</v>
      </c>
      <c r="B486" s="54" t="str">
        <v>控制柜</v>
      </c>
      <c r="C486" s="54" t="str">
        <v>LEC-2ACS-4/B-D（主要元器件：正泰）</v>
      </c>
      <c r="D486" s="54">
        <v>0</v>
      </c>
      <c r="E486" s="54">
        <v>0</v>
      </c>
      <c r="F486" s="54">
        <v>0</v>
      </c>
      <c r="G486" s="54">
        <v>0</v>
      </c>
      <c r="H486" s="54">
        <v>2</v>
      </c>
      <c r="I486" s="54">
        <v>0.13</v>
      </c>
      <c r="J486" s="54">
        <v>2560</v>
      </c>
      <c r="K486" s="54">
        <v>5120</v>
      </c>
      <c r="L486" s="54" t="str">
        <v>上海连城</v>
      </c>
      <c r="M486" s="80" t="str">
        <v>双电源，一用一备；超高液位报警、二泵同时启动，含双电源国产系列CB级。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87" ht="70" spans="1:13">
      <c r="A487" s="54">
        <v>0</v>
      </c>
      <c r="B487" s="54" t="str">
        <v>自耦</v>
      </c>
      <c r="C487" s="54" t="str">
        <v>GAK(II)-80</v>
      </c>
      <c r="D487" s="54">
        <v>0</v>
      </c>
      <c r="E487" s="54">
        <v>0</v>
      </c>
      <c r="F487" s="54">
        <v>0</v>
      </c>
      <c r="G487" s="54">
        <v>0</v>
      </c>
      <c r="H487" s="54">
        <v>4</v>
      </c>
      <c r="I487" s="54">
        <v>0.13</v>
      </c>
      <c r="J487" s="54">
        <v>590</v>
      </c>
      <c r="K487" s="54">
        <v>2360</v>
      </c>
      <c r="L487" s="54" t="str">
        <v>上海连城</v>
      </c>
      <c r="M487" s="80" t="str">
        <v>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88" ht="70" spans="1:13">
      <c r="A488" s="54">
        <v>0</v>
      </c>
      <c r="B488" s="54" t="str">
        <v>浮球开关</v>
      </c>
      <c r="C488" s="54">
        <v>0</v>
      </c>
      <c r="D488" s="54">
        <v>0</v>
      </c>
      <c r="E488" s="54">
        <v>0</v>
      </c>
      <c r="F488" s="54">
        <v>0</v>
      </c>
      <c r="G488" s="54">
        <v>0</v>
      </c>
      <c r="H488" s="54">
        <v>4</v>
      </c>
      <c r="I488" s="54">
        <v>0.13</v>
      </c>
      <c r="J488" s="54">
        <v>80</v>
      </c>
      <c r="K488" s="54">
        <v>320</v>
      </c>
      <c r="L488" s="54" t="str">
        <v>上海连城</v>
      </c>
      <c r="M488" s="80" t="str">
        <v>配10米电缆线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89" ht="70" spans="1:13">
      <c r="A489" s="54">
        <v>0</v>
      </c>
      <c r="B489" s="54" t="str">
        <v>导杆</v>
      </c>
      <c r="C489" s="54" t="str">
        <v>DN32×3.5</v>
      </c>
      <c r="D489" s="54">
        <v>0</v>
      </c>
      <c r="E489" s="54">
        <v>0</v>
      </c>
      <c r="F489" s="54">
        <v>0</v>
      </c>
      <c r="G489" s="54">
        <v>0</v>
      </c>
      <c r="H489" s="54">
        <v>4</v>
      </c>
      <c r="I489" s="54">
        <v>0.13</v>
      </c>
      <c r="J489" s="54">
        <v>165</v>
      </c>
      <c r="K489" s="54">
        <v>660</v>
      </c>
      <c r="L489" s="54" t="str">
        <v>上海连城</v>
      </c>
      <c r="M489" s="80" t="str">
        <v>3米镀锌导杆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90" ht="70" spans="1:13">
      <c r="A490" s="54">
        <v>0</v>
      </c>
      <c r="B490" s="54" t="str">
        <v>吊链</v>
      </c>
      <c r="C490" s="54" t="str">
        <v>6×18</v>
      </c>
      <c r="D490" s="54">
        <v>0</v>
      </c>
      <c r="E490" s="54">
        <v>0</v>
      </c>
      <c r="F490" s="54">
        <v>0</v>
      </c>
      <c r="G490" s="54">
        <v>0</v>
      </c>
      <c r="H490" s="54">
        <v>4</v>
      </c>
      <c r="I490" s="54">
        <v>0.13</v>
      </c>
      <c r="J490" s="54">
        <v>60</v>
      </c>
      <c r="K490" s="54">
        <v>240</v>
      </c>
      <c r="L490" s="54" t="str">
        <v>上海连城</v>
      </c>
      <c r="M490" s="80" t="str">
        <v>3.5米铁链一根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91" ht="70" spans="1:13">
      <c r="A491" s="54">
        <v>12</v>
      </c>
      <c r="B491" s="54" t="str">
        <v>污水间地面排水集水井潜水排污泵</v>
      </c>
      <c r="C491" s="54" t="str">
        <v>50WQE20-15-1.5</v>
      </c>
      <c r="D491" s="54">
        <v>20</v>
      </c>
      <c r="E491" s="54">
        <v>15</v>
      </c>
      <c r="F491" s="54">
        <v>0</v>
      </c>
      <c r="G491" s="54">
        <v>1.5</v>
      </c>
      <c r="H491" s="54">
        <v>4</v>
      </c>
      <c r="I491" s="54">
        <v>0.13</v>
      </c>
      <c r="J491" s="54">
        <v>1220</v>
      </c>
      <c r="K491" s="54">
        <v>4880</v>
      </c>
      <c r="L491" s="54" t="str">
        <v>上海连城</v>
      </c>
      <c r="M491" s="80" t="str">
        <v>10米电缆线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92" ht="70" spans="1:13">
      <c r="A492" s="54">
        <v>0</v>
      </c>
      <c r="B492" s="54" t="str">
        <v>控制柜</v>
      </c>
      <c r="C492" s="54" t="str">
        <v>LEC-2ACS-1.5/B（主要元器件：正泰）</v>
      </c>
      <c r="D492" s="54">
        <v>0</v>
      </c>
      <c r="E492" s="54">
        <v>0</v>
      </c>
      <c r="F492" s="54">
        <v>0</v>
      </c>
      <c r="G492" s="54">
        <v>0</v>
      </c>
      <c r="H492" s="54">
        <v>2</v>
      </c>
      <c r="I492" s="54">
        <v>0.13</v>
      </c>
      <c r="J492" s="54">
        <v>1405</v>
      </c>
      <c r="K492" s="54">
        <v>2810</v>
      </c>
      <c r="L492" s="54" t="str">
        <v>上海连城</v>
      </c>
      <c r="M492" s="80" t="str">
        <v>一用一备；超高液位报警、二泵同时启动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93" ht="70" spans="1:13">
      <c r="A493" s="54">
        <v>0</v>
      </c>
      <c r="B493" s="54" t="str">
        <v>自耦</v>
      </c>
      <c r="C493" s="54" t="str">
        <v>GAK(II)-50</v>
      </c>
      <c r="D493" s="54">
        <v>0</v>
      </c>
      <c r="E493" s="54">
        <v>0</v>
      </c>
      <c r="F493" s="54">
        <v>0</v>
      </c>
      <c r="G493" s="54">
        <v>0</v>
      </c>
      <c r="H493" s="54">
        <v>4</v>
      </c>
      <c r="I493" s="54">
        <v>0.13</v>
      </c>
      <c r="J493" s="54">
        <v>340</v>
      </c>
      <c r="K493" s="54">
        <v>1360</v>
      </c>
      <c r="L493" s="54" t="str">
        <v>上海连城</v>
      </c>
      <c r="M493" s="80" t="str">
        <v>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94" ht="70" spans="1:13">
      <c r="A494" s="54">
        <v>0</v>
      </c>
      <c r="B494" s="54" t="str">
        <v>浮球开关</v>
      </c>
      <c r="C494" s="54">
        <v>0</v>
      </c>
      <c r="D494" s="54">
        <v>0</v>
      </c>
      <c r="E494" s="54">
        <v>0</v>
      </c>
      <c r="F494" s="54">
        <v>0</v>
      </c>
      <c r="G494" s="54">
        <v>0</v>
      </c>
      <c r="H494" s="54">
        <v>4</v>
      </c>
      <c r="I494" s="54">
        <v>0.13</v>
      </c>
      <c r="J494" s="54">
        <v>80</v>
      </c>
      <c r="K494" s="54">
        <v>320</v>
      </c>
      <c r="L494" s="54" t="str">
        <v>上海连城</v>
      </c>
      <c r="M494" s="80" t="str">
        <v>配10米电缆线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95" ht="70" spans="1:13">
      <c r="A495" s="54">
        <v>0</v>
      </c>
      <c r="B495" s="54" t="str">
        <v>导杆</v>
      </c>
      <c r="C495" s="54" t="str">
        <v>DN32×3.5</v>
      </c>
      <c r="D495" s="54">
        <v>0</v>
      </c>
      <c r="E495" s="54">
        <v>0</v>
      </c>
      <c r="F495" s="54">
        <v>0</v>
      </c>
      <c r="G495" s="54">
        <v>0</v>
      </c>
      <c r="H495" s="54">
        <v>4</v>
      </c>
      <c r="I495" s="54">
        <v>0.13</v>
      </c>
      <c r="J495" s="54">
        <v>165</v>
      </c>
      <c r="K495" s="54">
        <v>660</v>
      </c>
      <c r="L495" s="54" t="str">
        <v>上海连城</v>
      </c>
      <c r="M495" s="80" t="str">
        <v>3米镀锌导杆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96" ht="70" spans="1:13">
      <c r="A496" s="54">
        <v>0</v>
      </c>
      <c r="B496" s="54" t="str">
        <v>吊链</v>
      </c>
      <c r="C496" s="54" t="str">
        <v>6×18</v>
      </c>
      <c r="D496" s="54">
        <v>0</v>
      </c>
      <c r="E496" s="54">
        <v>0</v>
      </c>
      <c r="F496" s="54">
        <v>0</v>
      </c>
      <c r="G496" s="54">
        <v>0</v>
      </c>
      <c r="H496" s="54">
        <v>4</v>
      </c>
      <c r="I496" s="54">
        <v>0.13</v>
      </c>
      <c r="J496" s="54">
        <v>60</v>
      </c>
      <c r="K496" s="54">
        <v>240</v>
      </c>
      <c r="L496" s="54" t="str">
        <v>上海连城</v>
      </c>
      <c r="M496" s="80" t="str">
        <v>3.5米铁链一根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97" ht="70" spans="1:13">
      <c r="A497" s="54">
        <v>13</v>
      </c>
      <c r="B497" s="54" t="str">
        <v>客梯排水集水井潜水排污泵</v>
      </c>
      <c r="C497" s="54" t="str">
        <v>50WQE15-22-2.2</v>
      </c>
      <c r="D497" s="54">
        <v>15</v>
      </c>
      <c r="E497" s="54">
        <v>17</v>
      </c>
      <c r="F497" s="54">
        <v>0</v>
      </c>
      <c r="G497" s="54">
        <v>2.2</v>
      </c>
      <c r="H497" s="54">
        <v>10</v>
      </c>
      <c r="I497" s="54">
        <v>0.13</v>
      </c>
      <c r="J497" s="54">
        <v>1340</v>
      </c>
      <c r="K497" s="54">
        <v>13400</v>
      </c>
      <c r="L497" s="54" t="str">
        <v>上海连城</v>
      </c>
      <c r="M497" s="80" t="str">
        <v>10米电缆线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98" ht="70" spans="1:13">
      <c r="A498" s="54">
        <v>0</v>
      </c>
      <c r="B498" s="54" t="str">
        <v>控制柜</v>
      </c>
      <c r="C498" s="54" t="str">
        <v>LEC-2ACS-2.2/B（主要元器件：正泰）</v>
      </c>
      <c r="D498" s="54">
        <v>0</v>
      </c>
      <c r="E498" s="54">
        <v>0</v>
      </c>
      <c r="F498" s="54">
        <v>0</v>
      </c>
      <c r="G498" s="54">
        <v>0</v>
      </c>
      <c r="H498" s="54">
        <v>5</v>
      </c>
      <c r="I498" s="54">
        <v>0.13</v>
      </c>
      <c r="J498" s="54">
        <v>1405</v>
      </c>
      <c r="K498" s="54">
        <v>7025</v>
      </c>
      <c r="L498" s="54" t="str">
        <v>上海连城</v>
      </c>
      <c r="M498" s="80" t="str">
        <v>一用一备；超高液位报警、二泵同时启动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499" ht="70" spans="1:13">
      <c r="A499" s="54">
        <v>0</v>
      </c>
      <c r="B499" s="54" t="str">
        <v>自耦</v>
      </c>
      <c r="C499" s="54" t="str">
        <v>GAK(II)-50</v>
      </c>
      <c r="D499" s="54">
        <v>0</v>
      </c>
      <c r="E499" s="54">
        <v>0</v>
      </c>
      <c r="F499" s="54">
        <v>0</v>
      </c>
      <c r="G499" s="54">
        <v>0</v>
      </c>
      <c r="H499" s="54">
        <v>10</v>
      </c>
      <c r="I499" s="54">
        <v>0.13</v>
      </c>
      <c r="J499" s="54">
        <v>340</v>
      </c>
      <c r="K499" s="54">
        <v>3400</v>
      </c>
      <c r="L499" s="54" t="str">
        <v>上海连城</v>
      </c>
      <c r="M499" s="80" t="str">
        <v>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500" ht="70" spans="1:13">
      <c r="A500" s="54">
        <v>0</v>
      </c>
      <c r="B500" s="54" t="str">
        <v>浮球开关</v>
      </c>
      <c r="C500" s="54">
        <v>0</v>
      </c>
      <c r="D500" s="54">
        <v>0</v>
      </c>
      <c r="E500" s="54">
        <v>0</v>
      </c>
      <c r="F500" s="54">
        <v>0</v>
      </c>
      <c r="G500" s="54">
        <v>0</v>
      </c>
      <c r="H500" s="54">
        <v>4</v>
      </c>
      <c r="I500" s="54">
        <v>0.13</v>
      </c>
      <c r="J500" s="54">
        <v>80</v>
      </c>
      <c r="K500" s="54">
        <v>320</v>
      </c>
      <c r="L500" s="54" t="str">
        <v>上海连城</v>
      </c>
      <c r="M500" s="80" t="str">
        <v>配10米电缆线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501" ht="70" spans="1:13">
      <c r="A501" s="54">
        <v>0</v>
      </c>
      <c r="B501" s="54" t="str">
        <v>导杆</v>
      </c>
      <c r="C501" s="54" t="str">
        <v>DN32×3.5</v>
      </c>
      <c r="D501" s="54">
        <v>0</v>
      </c>
      <c r="E501" s="54">
        <v>0</v>
      </c>
      <c r="F501" s="54">
        <v>0</v>
      </c>
      <c r="G501" s="54">
        <v>0</v>
      </c>
      <c r="H501" s="54">
        <v>4</v>
      </c>
      <c r="I501" s="54">
        <v>0.13</v>
      </c>
      <c r="J501" s="54">
        <v>165</v>
      </c>
      <c r="K501" s="54">
        <v>660</v>
      </c>
      <c r="L501" s="54" t="str">
        <v>上海连城</v>
      </c>
      <c r="M501" s="80" t="str">
        <v>3米镀锌导杆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502" ht="70" spans="1:13">
      <c r="A502" s="54">
        <v>0</v>
      </c>
      <c r="B502" s="54" t="str">
        <v>吊链</v>
      </c>
      <c r="C502" s="54" t="str">
        <v>6×18</v>
      </c>
      <c r="D502" s="54">
        <v>0</v>
      </c>
      <c r="E502" s="54">
        <v>0</v>
      </c>
      <c r="F502" s="54">
        <v>0</v>
      </c>
      <c r="G502" s="54">
        <v>0</v>
      </c>
      <c r="H502" s="54">
        <v>4</v>
      </c>
      <c r="I502" s="54">
        <v>0.13</v>
      </c>
      <c r="J502" s="54">
        <v>60</v>
      </c>
      <c r="K502" s="54">
        <v>240</v>
      </c>
      <c r="L502" s="54" t="str">
        <v>上海连城</v>
      </c>
      <c r="M502" s="80" t="str">
        <v>3.5米铁链一根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503" ht="70" spans="1:13">
      <c r="A503" s="54">
        <v>14</v>
      </c>
      <c r="B503" s="54" t="str">
        <v>电缆沟排水集水井潜水排污泵</v>
      </c>
      <c r="C503" s="54" t="str">
        <v>65WQE30-10-1.5</v>
      </c>
      <c r="D503" s="54">
        <v>30</v>
      </c>
      <c r="E503" s="54">
        <v>10</v>
      </c>
      <c r="F503" s="54">
        <v>0</v>
      </c>
      <c r="G503" s="54">
        <v>1.5</v>
      </c>
      <c r="H503" s="54">
        <v>4</v>
      </c>
      <c r="I503" s="54">
        <v>0.13</v>
      </c>
      <c r="J503" s="54">
        <v>1545</v>
      </c>
      <c r="K503" s="54">
        <v>6180</v>
      </c>
      <c r="L503" s="54" t="str">
        <v>上海连城</v>
      </c>
      <c r="M503" s="80" t="str">
        <v>10米电缆线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504" ht="84" spans="1:13">
      <c r="A504" s="54">
        <v>0</v>
      </c>
      <c r="B504" s="54" t="str">
        <v>控制柜</v>
      </c>
      <c r="C504" s="54" t="str">
        <v>LEC-2ACS-1.5/B（主要元器件：正泰）</v>
      </c>
      <c r="D504" s="54">
        <v>0</v>
      </c>
      <c r="E504" s="54">
        <v>0</v>
      </c>
      <c r="F504" s="54">
        <v>0</v>
      </c>
      <c r="G504" s="54">
        <v>0</v>
      </c>
      <c r="H504" s="54">
        <v>2</v>
      </c>
      <c r="I504" s="54">
        <v>0.13</v>
      </c>
      <c r="J504" s="54">
        <v>3500</v>
      </c>
      <c r="K504" s="54">
        <v>7000</v>
      </c>
      <c r="L504" s="54" t="str">
        <v>上海连城</v>
      </c>
      <c r="M504" s="80" t="str">
        <v>一用一备、超高液位报警、二泵同时启动，户外型安装（箱体材质冷轧钢板）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505" ht="70" spans="1:13">
      <c r="A505" s="54">
        <v>0</v>
      </c>
      <c r="B505" s="54" t="str">
        <v>自耦</v>
      </c>
      <c r="C505" s="54" t="str">
        <v>GAK(II)-65</v>
      </c>
      <c r="D505" s="54">
        <v>0</v>
      </c>
      <c r="E505" s="54">
        <v>0</v>
      </c>
      <c r="F505" s="54">
        <v>0</v>
      </c>
      <c r="G505" s="54">
        <v>0</v>
      </c>
      <c r="H505" s="54">
        <v>4</v>
      </c>
      <c r="I505" s="54">
        <v>0.13</v>
      </c>
      <c r="J505" s="54">
        <v>410</v>
      </c>
      <c r="K505" s="54">
        <v>1640</v>
      </c>
      <c r="L505" s="54" t="str">
        <v>上海连城</v>
      </c>
      <c r="M505" s="80" t="str">
        <v>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506" ht="70" spans="1:13">
      <c r="A506" s="54">
        <v>0</v>
      </c>
      <c r="B506" s="54" t="str">
        <v>浮球开关</v>
      </c>
      <c r="C506" s="54">
        <v>0</v>
      </c>
      <c r="D506" s="54">
        <v>0</v>
      </c>
      <c r="E506" s="54">
        <v>0</v>
      </c>
      <c r="F506" s="54">
        <v>0</v>
      </c>
      <c r="G506" s="54">
        <v>0</v>
      </c>
      <c r="H506" s="54">
        <v>4</v>
      </c>
      <c r="I506" s="54">
        <v>0.13</v>
      </c>
      <c r="J506" s="54">
        <v>80</v>
      </c>
      <c r="K506" s="54">
        <v>320</v>
      </c>
      <c r="L506" s="54" t="str">
        <v>上海连城</v>
      </c>
      <c r="M506" s="80" t="str">
        <v>配10米电缆线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507" ht="70" spans="1:13">
      <c r="A507" s="54">
        <v>0</v>
      </c>
      <c r="B507" s="54" t="str">
        <v>导杆</v>
      </c>
      <c r="C507" s="54" t="str">
        <v>DN32×3.5</v>
      </c>
      <c r="D507" s="54">
        <v>0</v>
      </c>
      <c r="E507" s="54">
        <v>0</v>
      </c>
      <c r="F507" s="54">
        <v>0</v>
      </c>
      <c r="G507" s="54">
        <v>0</v>
      </c>
      <c r="H507" s="54">
        <v>4</v>
      </c>
      <c r="I507" s="54">
        <v>0.13</v>
      </c>
      <c r="J507" s="54">
        <v>165</v>
      </c>
      <c r="K507" s="54">
        <v>660</v>
      </c>
      <c r="L507" s="54" t="str">
        <v>上海连城</v>
      </c>
      <c r="M507" s="80" t="str">
        <v>3米镀锌导杆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508" ht="70" spans="1:13">
      <c r="A508" s="54">
        <v>0</v>
      </c>
      <c r="B508" s="54" t="str">
        <v>吊链</v>
      </c>
      <c r="C508" s="54" t="str">
        <v>6×18</v>
      </c>
      <c r="D508" s="54">
        <v>0</v>
      </c>
      <c r="E508" s="54">
        <v>0</v>
      </c>
      <c r="F508" s="54">
        <v>0</v>
      </c>
      <c r="G508" s="54">
        <v>0</v>
      </c>
      <c r="H508" s="54">
        <v>4</v>
      </c>
      <c r="I508" s="54">
        <v>0.13</v>
      </c>
      <c r="J508" s="54">
        <v>60</v>
      </c>
      <c r="K508" s="54">
        <v>240</v>
      </c>
      <c r="L508" s="54" t="str">
        <v>上海连城</v>
      </c>
      <c r="M508" s="80" t="str">
        <v>3.5米铁链一根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509" ht="70" spans="1:13">
      <c r="A509" s="54">
        <v>15</v>
      </c>
      <c r="B509" s="54" t="str">
        <v>电缆夹层排水集水井潜水排污泵</v>
      </c>
      <c r="C509" s="54" t="str">
        <v>50WQE20-15-1.5</v>
      </c>
      <c r="D509" s="54">
        <v>10</v>
      </c>
      <c r="E509" s="54">
        <v>15</v>
      </c>
      <c r="F509" s="54">
        <v>0</v>
      </c>
      <c r="G509" s="54">
        <v>1.5</v>
      </c>
      <c r="H509" s="54">
        <v>4</v>
      </c>
      <c r="I509" s="54">
        <v>0.13</v>
      </c>
      <c r="J509" s="54">
        <v>1340</v>
      </c>
      <c r="K509" s="54">
        <v>5360</v>
      </c>
      <c r="L509" s="54" t="str">
        <v>上海连城</v>
      </c>
      <c r="M509" s="80" t="str">
        <v>10米电缆线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510" ht="70" spans="1:13">
      <c r="A510" s="54">
        <v>0</v>
      </c>
      <c r="B510" s="54" t="str">
        <v>控制柜</v>
      </c>
      <c r="C510" s="54" t="str">
        <v>LEC-2ACS-21.5/B（主要元器件：正泰）</v>
      </c>
      <c r="D510" s="54">
        <v>0</v>
      </c>
      <c r="E510" s="54">
        <v>0</v>
      </c>
      <c r="F510" s="54">
        <v>0</v>
      </c>
      <c r="G510" s="54">
        <v>0</v>
      </c>
      <c r="H510" s="54">
        <v>2</v>
      </c>
      <c r="I510" s="54">
        <v>0.13</v>
      </c>
      <c r="J510" s="54">
        <v>1405</v>
      </c>
      <c r="K510" s="54">
        <v>2810</v>
      </c>
      <c r="L510" s="54" t="str">
        <v>上海连城</v>
      </c>
      <c r="M510" s="80" t="str">
        <v>一用一备；超高液位报警、二泵同时启动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511" ht="70" spans="1:13">
      <c r="A511" s="54">
        <v>0</v>
      </c>
      <c r="B511" s="54" t="str">
        <v>自耦</v>
      </c>
      <c r="C511" s="54" t="str">
        <v>GAK(II)-50</v>
      </c>
      <c r="D511" s="54">
        <v>0</v>
      </c>
      <c r="E511" s="54">
        <v>0</v>
      </c>
      <c r="F511" s="54">
        <v>0</v>
      </c>
      <c r="G511" s="54">
        <v>0</v>
      </c>
      <c r="H511" s="54">
        <v>4</v>
      </c>
      <c r="I511" s="54">
        <v>0.13</v>
      </c>
      <c r="J511" s="54">
        <v>340</v>
      </c>
      <c r="K511" s="54">
        <v>1360</v>
      </c>
      <c r="L511" s="54" t="str">
        <v>上海连城</v>
      </c>
      <c r="M511" s="80" t="str">
        <v>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512" ht="70" spans="1:13">
      <c r="A512" s="54">
        <v>0</v>
      </c>
      <c r="B512" s="54" t="str">
        <v>浮球开关</v>
      </c>
      <c r="C512" s="54">
        <v>0</v>
      </c>
      <c r="D512" s="54">
        <v>0</v>
      </c>
      <c r="E512" s="54">
        <v>0</v>
      </c>
      <c r="F512" s="54">
        <v>0</v>
      </c>
      <c r="G512" s="54">
        <v>0</v>
      </c>
      <c r="H512" s="54">
        <v>4</v>
      </c>
      <c r="I512" s="54">
        <v>0.13</v>
      </c>
      <c r="J512" s="54">
        <v>80</v>
      </c>
      <c r="K512" s="54">
        <v>320</v>
      </c>
      <c r="L512" s="54" t="str">
        <v>上海连城</v>
      </c>
      <c r="M512" s="80" t="str">
        <v>配10米电缆线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513" ht="70" spans="1:13">
      <c r="A513" s="54">
        <v>0</v>
      </c>
      <c r="B513" s="54" t="str">
        <v>导杆</v>
      </c>
      <c r="C513" s="54" t="str">
        <v>DN32×3.5</v>
      </c>
      <c r="D513" s="54">
        <v>0</v>
      </c>
      <c r="E513" s="54">
        <v>0</v>
      </c>
      <c r="F513" s="54">
        <v>0</v>
      </c>
      <c r="G513" s="54">
        <v>0</v>
      </c>
      <c r="H513" s="54">
        <v>4</v>
      </c>
      <c r="I513" s="54">
        <v>0.13</v>
      </c>
      <c r="J513" s="54">
        <v>165</v>
      </c>
      <c r="K513" s="54">
        <v>660</v>
      </c>
      <c r="L513" s="54" t="str">
        <v>上海连城</v>
      </c>
      <c r="M513" s="80" t="str">
        <v>3米镀锌导杆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514" ht="70" spans="1:13">
      <c r="A514" s="54">
        <v>0</v>
      </c>
      <c r="B514" s="54" t="str">
        <v>吊链</v>
      </c>
      <c r="C514" s="54" t="str">
        <v>6×18</v>
      </c>
      <c r="D514" s="54">
        <v>0</v>
      </c>
      <c r="E514" s="54">
        <v>0</v>
      </c>
      <c r="F514" s="54">
        <v>0</v>
      </c>
      <c r="G514" s="54">
        <v>0</v>
      </c>
      <c r="H514" s="54">
        <v>4</v>
      </c>
      <c r="I514" s="54">
        <v>0.13</v>
      </c>
      <c r="J514" s="54">
        <v>60</v>
      </c>
      <c r="K514" s="54">
        <v>240</v>
      </c>
      <c r="L514" s="54" t="str">
        <v>上海连城</v>
      </c>
      <c r="M514" s="80" t="str">
        <v>3.5米铁链一根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515" ht="70" spans="1:13">
      <c r="A515" s="54">
        <v>16</v>
      </c>
      <c r="B515" s="54" t="str">
        <v>集水井潜水排污泵</v>
      </c>
      <c r="C515" s="54" t="str">
        <v>50WQE20-15-1.5</v>
      </c>
      <c r="D515" s="54">
        <v>20</v>
      </c>
      <c r="E515" s="54">
        <v>15</v>
      </c>
      <c r="F515" s="54">
        <v>0</v>
      </c>
      <c r="G515" s="54">
        <v>1.5</v>
      </c>
      <c r="H515" s="54">
        <v>2</v>
      </c>
      <c r="I515" s="54">
        <v>0.13</v>
      </c>
      <c r="J515" s="54">
        <v>1220</v>
      </c>
      <c r="K515" s="54">
        <v>2440</v>
      </c>
      <c r="L515" s="54" t="str">
        <v>上海连城</v>
      </c>
      <c r="M515" s="80" t="str">
        <v>10米电缆线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516" ht="70" spans="1:13">
      <c r="A516" s="54">
        <v>0</v>
      </c>
      <c r="B516" s="54" t="str">
        <v>控制柜</v>
      </c>
      <c r="C516" s="54" t="str">
        <v>LEC-2ACS-1.5/B（主要元器件：正泰）</v>
      </c>
      <c r="D516" s="54">
        <v>0</v>
      </c>
      <c r="E516" s="54">
        <v>0</v>
      </c>
      <c r="F516" s="54">
        <v>0</v>
      </c>
      <c r="G516" s="54">
        <v>0</v>
      </c>
      <c r="H516" s="54">
        <v>1</v>
      </c>
      <c r="I516" s="54">
        <v>0.13</v>
      </c>
      <c r="J516" s="54">
        <v>1405</v>
      </c>
      <c r="K516" s="54">
        <v>1405</v>
      </c>
      <c r="L516" s="54" t="str">
        <v>上海连城</v>
      </c>
      <c r="M516" s="80" t="str">
        <v>一用一备；超高液位报警、二泵同时启动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517" ht="70" spans="1:13">
      <c r="A517" s="54">
        <v>0</v>
      </c>
      <c r="B517" s="54" t="str">
        <v>自耦</v>
      </c>
      <c r="C517" s="54" t="str">
        <v>GAK(II)-50</v>
      </c>
      <c r="D517" s="54">
        <v>0</v>
      </c>
      <c r="E517" s="54">
        <v>0</v>
      </c>
      <c r="F517" s="54">
        <v>0</v>
      </c>
      <c r="G517" s="54">
        <v>0</v>
      </c>
      <c r="H517" s="54">
        <v>2</v>
      </c>
      <c r="I517" s="54">
        <v>0.13</v>
      </c>
      <c r="J517" s="54">
        <v>340</v>
      </c>
      <c r="K517" s="54">
        <v>680</v>
      </c>
      <c r="L517" s="54" t="str">
        <v>上海连城</v>
      </c>
      <c r="M517" s="80" t="str">
        <v>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518" ht="70" spans="1:13">
      <c r="A518" s="54">
        <v>17</v>
      </c>
      <c r="B518" s="54" t="str">
        <v>浮球开关</v>
      </c>
      <c r="C518" s="54">
        <v>0</v>
      </c>
      <c r="D518" s="54">
        <v>0</v>
      </c>
      <c r="E518" s="54">
        <v>0</v>
      </c>
      <c r="F518" s="54">
        <v>0</v>
      </c>
      <c r="G518" s="54">
        <v>0</v>
      </c>
      <c r="H518" s="54">
        <v>2</v>
      </c>
      <c r="I518" s="54">
        <v>0.13</v>
      </c>
      <c r="J518" s="54">
        <v>80</v>
      </c>
      <c r="K518" s="54">
        <v>160</v>
      </c>
      <c r="L518" s="54" t="str">
        <v>上海连城</v>
      </c>
      <c r="M518" s="80" t="str">
        <v>配10米电缆线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519" ht="70" spans="1:13">
      <c r="A519" s="54">
        <v>18</v>
      </c>
      <c r="B519" s="54" t="str">
        <v>导杆</v>
      </c>
      <c r="C519" s="54" t="str">
        <v>DN32×3.5</v>
      </c>
      <c r="D519" s="54">
        <v>0</v>
      </c>
      <c r="E519" s="54">
        <v>0</v>
      </c>
      <c r="F519" s="54">
        <v>0</v>
      </c>
      <c r="G519" s="54">
        <v>0</v>
      </c>
      <c r="H519" s="54">
        <v>2</v>
      </c>
      <c r="I519" s="54">
        <v>0.13</v>
      </c>
      <c r="J519" s="54">
        <v>165</v>
      </c>
      <c r="K519" s="54">
        <v>330</v>
      </c>
      <c r="L519" s="54" t="str">
        <v>上海连城</v>
      </c>
      <c r="M519" s="80" t="str">
        <v>3米镀锌导杆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520" ht="70" spans="1:13">
      <c r="A520" s="54">
        <v>19</v>
      </c>
      <c r="B520" s="54" t="str">
        <v>吊链</v>
      </c>
      <c r="C520" s="54" t="str">
        <v>6×18</v>
      </c>
      <c r="D520" s="54">
        <v>0</v>
      </c>
      <c r="E520" s="54">
        <v>0</v>
      </c>
      <c r="F520" s="54">
        <v>0</v>
      </c>
      <c r="G520" s="54">
        <v>0</v>
      </c>
      <c r="H520" s="54">
        <v>2</v>
      </c>
      <c r="I520" s="54">
        <v>0.13</v>
      </c>
      <c r="J520" s="54">
        <v>60</v>
      </c>
      <c r="K520" s="54">
        <v>120</v>
      </c>
      <c r="L520" s="54" t="str">
        <v>上海连城</v>
      </c>
      <c r="M520" s="80" t="str">
        <v>3.5米铁链一根2025.3.4，无预付款，货到现场验收合格后1月支付至到货金额的95%，（其中50%以半年期商业承兑汇票形式支付，50%以现金电汇形式支付），货物全送现场后，供方开具总到货金额的5%的两年银行质量保函，买方支付至结算金额的100%</v>
      </c>
    </row>
    <row r="521" ht="70" spans="1:13">
      <c r="A521" s="54">
        <v>1</v>
      </c>
      <c r="B521" s="54" t="str">
        <v>潜污泵</v>
      </c>
      <c r="C521" s="54" t="str">
        <v>65WQC40-23-5.5</v>
      </c>
      <c r="D521" s="54">
        <v>40</v>
      </c>
      <c r="E521" s="54">
        <v>23</v>
      </c>
      <c r="F521" s="54">
        <v>0</v>
      </c>
      <c r="G521" s="54">
        <v>5.5</v>
      </c>
      <c r="H521" s="54">
        <v>72</v>
      </c>
      <c r="I521" s="54">
        <v>0.13</v>
      </c>
      <c r="J521" s="54">
        <v>1934</v>
      </c>
      <c r="K521" s="54">
        <v>139248</v>
      </c>
      <c r="L521" s="54" t="str">
        <v>上海连成</v>
      </c>
      <c r="M521" s="80" t="str">
        <v>含耦合装置，2米标配导杆、吊链，8米四芯电缆，铸铁材质。带搅匀功能,电泳漆。2025.10.9,预付当批货款金额30%，供方提供等额预付款保函（现金转账），货到现场一个月付至结算金额97%（先抵扣预付款后再支付当批货款，现金转账），质保金3%的结算金额，质保2年。</v>
      </c>
    </row>
    <row r="522" spans="1:13">
      <c r="A522" s="54">
        <v>0</v>
      </c>
      <c r="B522" s="54" t="str">
        <v>耦合</v>
      </c>
      <c r="C522" s="54" t="str">
        <v>DN65</v>
      </c>
      <c r="D522" s="54">
        <v>0</v>
      </c>
      <c r="E522" s="54">
        <v>0</v>
      </c>
      <c r="F522" s="54">
        <v>0</v>
      </c>
      <c r="G522" s="54">
        <v>0</v>
      </c>
      <c r="H522" s="54">
        <v>0</v>
      </c>
      <c r="I522" s="54">
        <v>0</v>
      </c>
      <c r="J522" s="54">
        <v>0</v>
      </c>
      <c r="K522" s="54">
        <v>0</v>
      </c>
      <c r="L522" s="54" t="str">
        <v>上海连成</v>
      </c>
      <c r="M522" s="80">
        <v>0</v>
      </c>
    </row>
    <row r="523" ht="98" spans="1:13">
      <c r="A523" s="54">
        <v>0</v>
      </c>
      <c r="B523" s="54" t="str">
        <v>控制柜</v>
      </c>
      <c r="C523" s="54" t="str">
        <v>LEC-2ACS-5.5/B-BA</v>
      </c>
      <c r="D523" s="54">
        <v>0</v>
      </c>
      <c r="E523" s="54">
        <v>0</v>
      </c>
      <c r="F523" s="54">
        <v>0</v>
      </c>
      <c r="G523" s="54">
        <v>0</v>
      </c>
      <c r="H523" s="54">
        <v>36</v>
      </c>
      <c r="I523" s="54">
        <v>0</v>
      </c>
      <c r="J523" s="54">
        <v>868</v>
      </c>
      <c r="K523" s="54">
        <v>31248</v>
      </c>
      <c r="L523" s="54" t="str">
        <v>上海连成</v>
      </c>
      <c r="M523" s="80" t="str">
        <v>一控二，四芯,主要器件国产，含两个浮球，（信号线8米）低液位停泵，高液位启一台泵，超高液位启2台泵并报警。BA系统对其运行状态和故障进行监视；2025.10.9,预付当批货款金额30%，供方提供等额预付款保函（现金转账），货到现场一个月付至结算金额97%（先抵扣预付款后再支付当批货款，现金转账），质保金3%的结算金额，质保2年。</v>
      </c>
    </row>
    <row r="524" ht="70" spans="1:13">
      <c r="A524" s="54">
        <v>2</v>
      </c>
      <c r="B524" s="54" t="str">
        <v>潜污泵</v>
      </c>
      <c r="C524" s="54" t="str">
        <v>50WQC25-18-3</v>
      </c>
      <c r="D524" s="54">
        <v>25</v>
      </c>
      <c r="E524" s="54">
        <v>18</v>
      </c>
      <c r="F524" s="54">
        <v>0</v>
      </c>
      <c r="G524" s="54">
        <v>3</v>
      </c>
      <c r="H524" s="54">
        <v>4</v>
      </c>
      <c r="I524" s="54">
        <v>0.13</v>
      </c>
      <c r="J524" s="54">
        <v>1301</v>
      </c>
      <c r="K524" s="54">
        <v>5204</v>
      </c>
      <c r="L524" s="54" t="str">
        <v>上海连成</v>
      </c>
      <c r="M524" s="80" t="str">
        <v>含耦合装置，2米标配导杆、吊链，8米四芯电缆，铸铁材质。带搅匀功能,电泳漆。2025.10.9,预付当批货款金额30%，供方提供等额预付款保函（现金转账），货到现场一个月付至结算金额97%（先抵扣预付款后再支付当批货款，现金转账），质保金3%的结算金额，质保2年。</v>
      </c>
    </row>
    <row r="525" spans="1:13">
      <c r="A525" s="54">
        <v>0</v>
      </c>
      <c r="B525" s="54" t="str">
        <v>耦合</v>
      </c>
      <c r="C525" s="54" t="str">
        <v>DN50</v>
      </c>
      <c r="D525" s="54">
        <v>0</v>
      </c>
      <c r="E525" s="54">
        <v>0</v>
      </c>
      <c r="F525" s="54">
        <v>0</v>
      </c>
      <c r="G525" s="54">
        <v>0</v>
      </c>
      <c r="H525" s="54">
        <v>0</v>
      </c>
      <c r="I525" s="54">
        <v>0</v>
      </c>
      <c r="J525" s="54">
        <v>0</v>
      </c>
      <c r="K525" s="54">
        <v>0</v>
      </c>
      <c r="L525" s="54" t="str">
        <v>上海连成</v>
      </c>
      <c r="M525" s="80">
        <v>0</v>
      </c>
    </row>
    <row r="526" ht="98" spans="1:13">
      <c r="A526" s="54">
        <v>0</v>
      </c>
      <c r="B526" s="54" t="str">
        <v>控制柜</v>
      </c>
      <c r="C526" s="54" t="str">
        <v>LEC-2ACS-3/B-BA</v>
      </c>
      <c r="D526" s="54">
        <v>0</v>
      </c>
      <c r="E526" s="54">
        <v>0</v>
      </c>
      <c r="F526" s="54">
        <v>0</v>
      </c>
      <c r="G526" s="54">
        <v>0</v>
      </c>
      <c r="H526" s="54">
        <v>2</v>
      </c>
      <c r="I526" s="54">
        <v>0</v>
      </c>
      <c r="J526" s="54">
        <v>868</v>
      </c>
      <c r="K526" s="54">
        <v>1736</v>
      </c>
      <c r="L526" s="54" t="str">
        <v>上海连成</v>
      </c>
      <c r="M526" s="80" t="str">
        <v>一控二，四芯,主要器件国产，含两个浮球，（信号线8米）低液位停泵，高液位启一台泵，超高液位启2台泵并报警。BA系统对其运行状态和故障进行监视；2025.10.9,预付当批货款金额30%，供方提供等额预付款保函（现金转账），货到现场一个月付至结算金额97%（先抵扣预付款后再支付当批货款，现金转账），质保金3%的结算金额，质保2年。</v>
      </c>
    </row>
    <row r="527" ht="70" spans="1:13">
      <c r="A527" s="54">
        <v>3</v>
      </c>
      <c r="B527" s="54" t="str">
        <v>污水泵</v>
      </c>
      <c r="C527" s="54" t="str">
        <v>50WQC10-25-3</v>
      </c>
      <c r="D527" s="54">
        <v>10</v>
      </c>
      <c r="E527" s="54">
        <v>25</v>
      </c>
      <c r="F527" s="54">
        <v>0</v>
      </c>
      <c r="G527" s="54">
        <v>3</v>
      </c>
      <c r="H527" s="54">
        <v>10</v>
      </c>
      <c r="I527" s="54">
        <v>0.13</v>
      </c>
      <c r="J527" s="54">
        <v>1301</v>
      </c>
      <c r="K527" s="54">
        <v>13010</v>
      </c>
      <c r="L527" s="54" t="str">
        <v>上海连成</v>
      </c>
      <c r="M527" s="80" t="str">
        <v>含耦合装置，1.5米标配导杆、吊链，8米四芯电缆，铸铁材质。带搅匀功能,电泳漆。2025.10.9,预付当批货款金额30%，供方提供等额预付款保函（现金转账），货到现场一个月付至结算金额97%（先抵扣预付款后再支付当批货款，现金转账），质保金3%的结算金额，质保2年。</v>
      </c>
    </row>
    <row r="528" spans="1:13">
      <c r="A528" s="54">
        <v>0</v>
      </c>
      <c r="B528" s="54" t="str">
        <v>耦合</v>
      </c>
      <c r="C528" s="54" t="str">
        <v>DN50</v>
      </c>
      <c r="D528" s="54">
        <v>0</v>
      </c>
      <c r="E528" s="54">
        <v>0</v>
      </c>
      <c r="F528" s="54">
        <v>0</v>
      </c>
      <c r="G528" s="54">
        <v>0</v>
      </c>
      <c r="H528" s="54">
        <v>0</v>
      </c>
      <c r="I528" s="54">
        <v>0</v>
      </c>
      <c r="J528" s="54">
        <v>0</v>
      </c>
      <c r="K528" s="54">
        <v>0</v>
      </c>
      <c r="L528" s="54" t="str">
        <v>上海连成</v>
      </c>
      <c r="M528" s="80">
        <v>0</v>
      </c>
    </row>
    <row r="529" ht="98" spans="1:13">
      <c r="A529" s="54">
        <v>0</v>
      </c>
      <c r="B529" s="54" t="str">
        <v>控制柜</v>
      </c>
      <c r="C529" s="54" t="str">
        <v>LCC-2ACS-3/B</v>
      </c>
      <c r="D529" s="54">
        <v>0</v>
      </c>
      <c r="E529" s="54">
        <v>0</v>
      </c>
      <c r="F529" s="54">
        <v>0</v>
      </c>
      <c r="G529" s="54">
        <v>0</v>
      </c>
      <c r="H529" s="54">
        <v>5</v>
      </c>
      <c r="I529" s="54">
        <v>0</v>
      </c>
      <c r="J529" s="54">
        <v>868</v>
      </c>
      <c r="K529" s="54">
        <v>4340</v>
      </c>
      <c r="L529" s="54" t="str">
        <v>上海连成</v>
      </c>
      <c r="M529" s="80" t="str">
        <v>一控二，四芯,主要器件国产，含两个浮球，（信号线8米）低液位停泵，高液位启一台泵，超高液位启2台泵并报警。BA系统对其运行状态和故障进行监视；2025.10.9,预付当批货款金额30%，供方提供等额预付款保函（现金转账），货到现场一个月付至结算金额97%（先抵扣预付款后再支付当批货款，现金转账），质保金3%的结算金额，质保2年。</v>
      </c>
    </row>
    <row r="530" ht="70" spans="1:13">
      <c r="A530" s="54">
        <v>4</v>
      </c>
      <c r="B530" s="54" t="str">
        <v>污水泵</v>
      </c>
      <c r="C530" s="54" t="str">
        <v>50WQC40-15-3</v>
      </c>
      <c r="D530" s="54">
        <v>40</v>
      </c>
      <c r="E530" s="54">
        <v>15</v>
      </c>
      <c r="F530" s="54">
        <v>0</v>
      </c>
      <c r="G530" s="54">
        <v>3</v>
      </c>
      <c r="H530" s="54">
        <v>2</v>
      </c>
      <c r="I530" s="54">
        <v>0.13</v>
      </c>
      <c r="J530" s="54">
        <v>1301</v>
      </c>
      <c r="K530" s="54">
        <v>2602</v>
      </c>
      <c r="L530" s="54" t="str">
        <v>上海连成</v>
      </c>
      <c r="M530" s="80" t="str">
        <v>含耦合装置，2米标配导杆、吊链，8米四芯电缆，铸铁材质。带搅匀功能,电泳漆。2025.10.9,预付当批货款金额30%，供方提供等额预付款保函（现金转账），货到现场一个月付至结算金额97%（先抵扣预付款后再支付当批货款，现金转账），质保金3%的结算金额，质保2年。</v>
      </c>
    </row>
    <row r="531" spans="1:13">
      <c r="A531" s="54">
        <v>0</v>
      </c>
      <c r="B531" s="54" t="str">
        <v>耦合</v>
      </c>
      <c r="C531" s="54" t="str">
        <v>DN50</v>
      </c>
      <c r="D531" s="54">
        <v>0</v>
      </c>
      <c r="E531" s="54">
        <v>0</v>
      </c>
      <c r="F531" s="54">
        <v>0</v>
      </c>
      <c r="G531" s="54">
        <v>0</v>
      </c>
      <c r="H531" s="54">
        <v>0</v>
      </c>
      <c r="I531" s="54">
        <v>0</v>
      </c>
      <c r="J531" s="54">
        <v>0</v>
      </c>
      <c r="K531" s="54">
        <v>0</v>
      </c>
      <c r="L531" s="54" t="str">
        <v>上海连成</v>
      </c>
      <c r="M531" s="80">
        <v>0</v>
      </c>
    </row>
    <row r="532" ht="98" spans="1:13">
      <c r="A532" s="54">
        <v>0</v>
      </c>
      <c r="B532" s="54" t="str">
        <v>控制柜</v>
      </c>
      <c r="C532" s="54" t="str">
        <v>LCC-2ACS-3/B-BA</v>
      </c>
      <c r="D532" s="54">
        <v>0</v>
      </c>
      <c r="E532" s="54">
        <v>0</v>
      </c>
      <c r="F532" s="54">
        <v>0</v>
      </c>
      <c r="G532" s="54">
        <v>0</v>
      </c>
      <c r="H532" s="54">
        <v>1</v>
      </c>
      <c r="I532" s="54">
        <v>0</v>
      </c>
      <c r="J532" s="54">
        <v>868</v>
      </c>
      <c r="K532" s="54">
        <v>868</v>
      </c>
      <c r="L532" s="54" t="str">
        <v>上海连成</v>
      </c>
      <c r="M532" s="80" t="str">
        <v>一控二，四芯,主要器件国产，含两个浮球，（信号线8米）低液位停泵，高液位启一台泵，超高液位启2台泵并报警。BA系统对其运行状态和故障进行监视；2025.10.9,预付当批货款金额30%，供方提供等额预付款保函（现金转账），货到现场一个月付至结算金额97%（先抵扣预付款后再支付当批货款，现金转账），质保金3%的结算金额，质保2年。</v>
      </c>
    </row>
    <row r="533" ht="70" spans="1:13">
      <c r="A533" s="54">
        <v>5</v>
      </c>
      <c r="B533" s="54" t="str">
        <v>潜污泵</v>
      </c>
      <c r="C533" s="54" t="str">
        <v>50WQC40-15-3</v>
      </c>
      <c r="D533" s="54">
        <v>40</v>
      </c>
      <c r="E533" s="54">
        <v>15</v>
      </c>
      <c r="F533" s="54">
        <v>0</v>
      </c>
      <c r="G533" s="54">
        <v>3</v>
      </c>
      <c r="H533" s="54">
        <v>6</v>
      </c>
      <c r="I533" s="54">
        <v>0.13</v>
      </c>
      <c r="J533" s="54">
        <v>1301</v>
      </c>
      <c r="K533" s="54">
        <v>7806</v>
      </c>
      <c r="L533" s="54" t="str">
        <v>上海连成</v>
      </c>
      <c r="M533" s="80" t="str">
        <v>含耦合装置，2米标配导杆、吊链，8米四芯电缆，铸铁材质。带搅匀功能,电泳漆。2025.10.9,预付当批货款金额30%，供方提供等额预付款保函（现金转账），货到现场一个月付至结算金额97%（先抵扣预付款后再支付当批货款，现金转账），质保金3%的结算金额，质保2年。</v>
      </c>
    </row>
    <row r="534" spans="1:13">
      <c r="A534" s="54">
        <v>0</v>
      </c>
      <c r="B534" s="54" t="str">
        <v>耦合</v>
      </c>
      <c r="C534" s="54" t="str">
        <v>DN50</v>
      </c>
      <c r="D534" s="54">
        <v>0</v>
      </c>
      <c r="E534" s="54">
        <v>0</v>
      </c>
      <c r="F534" s="54">
        <v>0</v>
      </c>
      <c r="G534" s="54">
        <v>0</v>
      </c>
      <c r="H534" s="54">
        <v>0</v>
      </c>
      <c r="I534" s="54">
        <v>0</v>
      </c>
      <c r="J534" s="54">
        <v>0</v>
      </c>
      <c r="K534" s="54">
        <v>0</v>
      </c>
      <c r="L534" s="54" t="str">
        <v>上海连成</v>
      </c>
      <c r="M534" s="80">
        <v>0</v>
      </c>
    </row>
    <row r="535" ht="98" spans="1:13">
      <c r="A535" s="54">
        <v>0</v>
      </c>
      <c r="B535" s="54" t="str">
        <v>控制柜</v>
      </c>
      <c r="C535" s="54" t="str">
        <v>LCC-2ACS-3/B-BA</v>
      </c>
      <c r="D535" s="54">
        <v>0</v>
      </c>
      <c r="E535" s="54">
        <v>0</v>
      </c>
      <c r="F535" s="54">
        <v>0</v>
      </c>
      <c r="G535" s="54">
        <v>0</v>
      </c>
      <c r="H535" s="54">
        <v>3</v>
      </c>
      <c r="I535" s="54">
        <v>0</v>
      </c>
      <c r="J535" s="54">
        <v>868</v>
      </c>
      <c r="K535" s="54">
        <v>2604</v>
      </c>
      <c r="L535" s="54" t="str">
        <v>上海连成</v>
      </c>
      <c r="M535" s="80" t="str">
        <v>一控二，四芯,主要器件国产，含两个浮球，（信号线8米）低液位停泵，高液位启一台泵，超高液位启2台泵并报警。BA系统对其运行状态和故障进行监视；2025.10.9,预付当批货款金额30%，供方提供等额预付款保函（现金转账），货到现场一个月付至结算金额97%（先抵扣预付款后再支付当批货款，现金转账），质保金3%的结算金额，质保2年。</v>
      </c>
    </row>
    <row r="536" ht="70" spans="1:13">
      <c r="A536" s="54">
        <v>6</v>
      </c>
      <c r="B536" s="54" t="str">
        <v>潜污泵</v>
      </c>
      <c r="C536" s="54" t="str">
        <v>50WQC40-15-3</v>
      </c>
      <c r="D536" s="54">
        <v>40</v>
      </c>
      <c r="E536" s="54">
        <v>15</v>
      </c>
      <c r="F536" s="54">
        <v>0</v>
      </c>
      <c r="G536" s="54">
        <v>3</v>
      </c>
      <c r="H536" s="54">
        <v>4</v>
      </c>
      <c r="I536" s="54">
        <v>0.13</v>
      </c>
      <c r="J536" s="54">
        <v>1301</v>
      </c>
      <c r="K536" s="54">
        <v>5204</v>
      </c>
      <c r="L536" s="54" t="str">
        <v>上海连成</v>
      </c>
      <c r="M536" s="80" t="str">
        <v>含耦合装置，2米标配导杆、吊链，8米四芯电缆，铸铁材质。带搅匀功能,电泳漆。2025.10.9,预付当批货款金额30%，供方提供等额预付款保函（现金转账），货到现场一个月付至结算金额97%（先抵扣预付款后再支付当批货款，现金转账），质保金3%的结算金额，质保2年。</v>
      </c>
    </row>
    <row r="537" spans="1:13">
      <c r="A537" s="54">
        <v>0</v>
      </c>
      <c r="B537" s="54" t="str">
        <v>耦合</v>
      </c>
      <c r="C537" s="54" t="str">
        <v>DN50</v>
      </c>
      <c r="D537" s="54">
        <v>0</v>
      </c>
      <c r="E537" s="54">
        <v>0</v>
      </c>
      <c r="F537" s="54">
        <v>0</v>
      </c>
      <c r="G537" s="54">
        <v>0</v>
      </c>
      <c r="H537" s="54">
        <v>0</v>
      </c>
      <c r="I537" s="54">
        <v>0</v>
      </c>
      <c r="J537" s="54">
        <v>0</v>
      </c>
      <c r="K537" s="54">
        <v>0</v>
      </c>
      <c r="L537" s="54" t="str">
        <v>上海连成</v>
      </c>
      <c r="M537" s="80">
        <v>0</v>
      </c>
    </row>
    <row r="538" ht="98" spans="1:13">
      <c r="A538" s="54">
        <v>0</v>
      </c>
      <c r="B538" s="54" t="str">
        <v>控制柜</v>
      </c>
      <c r="C538" s="54" t="str">
        <v>LCC-2ACS-3/B</v>
      </c>
      <c r="D538" s="54">
        <v>0</v>
      </c>
      <c r="E538" s="54">
        <v>0</v>
      </c>
      <c r="F538" s="54">
        <v>0</v>
      </c>
      <c r="G538" s="54">
        <v>0</v>
      </c>
      <c r="H538" s="54">
        <v>2</v>
      </c>
      <c r="I538" s="54">
        <v>0</v>
      </c>
      <c r="J538" s="54">
        <v>868</v>
      </c>
      <c r="K538" s="54">
        <v>1736</v>
      </c>
      <c r="L538" s="54" t="str">
        <v>上海连成</v>
      </c>
      <c r="M538" s="80" t="str">
        <v>一控二，四芯,主要器件国产，含两个浮球，（信号线8米）低液位停泵，高液位启一台泵，超高液位启2台泵并报警。BA系统对其运行状态和故障进行监视；2025.10.9,预付当批货款金额30%，供方提供等额预付款保函（现金转账），货到现场一个月付至结算金额97%（先抵扣预付款后再支付当批货款，现金转账），质保金3%的结算金额，质保2年。</v>
      </c>
    </row>
    <row r="539" ht="70" spans="1:13">
      <c r="A539" s="54">
        <v>7</v>
      </c>
      <c r="B539" s="54" t="str">
        <v>潜污泵</v>
      </c>
      <c r="C539" s="54" t="str">
        <v>65WQC40-23-5.5</v>
      </c>
      <c r="D539" s="54">
        <v>40</v>
      </c>
      <c r="E539" s="54">
        <v>23</v>
      </c>
      <c r="F539" s="54">
        <v>0</v>
      </c>
      <c r="G539" s="54">
        <v>5.5</v>
      </c>
      <c r="H539" s="54">
        <v>4</v>
      </c>
      <c r="I539" s="54">
        <v>0.13</v>
      </c>
      <c r="J539" s="54">
        <v>1934</v>
      </c>
      <c r="K539" s="54">
        <v>7736</v>
      </c>
      <c r="L539" s="54" t="str">
        <v>上海连成</v>
      </c>
      <c r="M539" s="80" t="str">
        <v>含耦合装置，2米标配导杆、吊链，8米四芯电缆，铸铁材质。带搅匀功能,电泳漆。2025.10.9,预付当批货款金额30%，供方提供等额预付款保函（现金转账），货到现场一个月付至结算金额97%（先抵扣预付款后再支付当批货款，现金转账），质保金3%的结算金额，质保2年。</v>
      </c>
    </row>
    <row r="540" spans="1:13">
      <c r="A540" s="54">
        <v>0</v>
      </c>
      <c r="B540" s="54" t="str">
        <v>耦合</v>
      </c>
      <c r="C540" s="54" t="str">
        <v>DN65</v>
      </c>
      <c r="D540" s="54">
        <v>0</v>
      </c>
      <c r="E540" s="54">
        <v>0</v>
      </c>
      <c r="F540" s="54">
        <v>0</v>
      </c>
      <c r="G540" s="54">
        <v>0</v>
      </c>
      <c r="H540" s="54">
        <v>0</v>
      </c>
      <c r="I540" s="54">
        <v>0</v>
      </c>
      <c r="J540" s="54">
        <v>0</v>
      </c>
      <c r="K540" s="54">
        <v>0</v>
      </c>
      <c r="L540" s="54" t="str">
        <v>上海连成</v>
      </c>
      <c r="M540" s="80">
        <v>0</v>
      </c>
    </row>
    <row r="541" ht="98" spans="1:13">
      <c r="A541" s="54">
        <v>0</v>
      </c>
      <c r="B541" s="54" t="str">
        <v>控制柜</v>
      </c>
      <c r="C541" s="54" t="str">
        <v>LCC-2ACS-5.5/B-BA</v>
      </c>
      <c r="D541" s="54">
        <v>0</v>
      </c>
      <c r="E541" s="54">
        <v>0</v>
      </c>
      <c r="F541" s="54">
        <v>0</v>
      </c>
      <c r="G541" s="54">
        <v>0</v>
      </c>
      <c r="H541" s="54">
        <v>2</v>
      </c>
      <c r="I541" s="54">
        <v>0</v>
      </c>
      <c r="J541" s="54">
        <v>868</v>
      </c>
      <c r="K541" s="54">
        <v>1736</v>
      </c>
      <c r="L541" s="54" t="str">
        <v>上海连成</v>
      </c>
      <c r="M541" s="80" t="str">
        <v>一控二，四芯,主要器件国产，含两个浮球，（信号线8米）低液位停泵，高液位启一台泵，超高液位启2台泵并报警。BA系统对其运行状态和故障进行监视；2025.10.9,预付当批货款金额30%，供方提供等额预付款保函（现金转账），货到现场一个月付至结算金额97%（先抵扣预付款后再支付当批货款，现金转账），质保金3%的结算金额，质保2年。</v>
      </c>
    </row>
    <row r="542" ht="70" spans="1:13">
      <c r="A542" s="54">
        <v>8</v>
      </c>
      <c r="B542" s="54" t="str">
        <v>蓄水池排空泵</v>
      </c>
      <c r="C542" s="54" t="str">
        <v>50WQC40-15-3</v>
      </c>
      <c r="D542" s="54">
        <v>40</v>
      </c>
      <c r="E542" s="54">
        <v>15</v>
      </c>
      <c r="F542" s="54">
        <v>0</v>
      </c>
      <c r="G542" s="54">
        <v>3</v>
      </c>
      <c r="H542" s="54">
        <v>3</v>
      </c>
      <c r="I542" s="54">
        <v>0.13</v>
      </c>
      <c r="J542" s="54">
        <v>1499</v>
      </c>
      <c r="K542" s="54">
        <v>4497</v>
      </c>
      <c r="L542" s="54" t="str">
        <v>上海连成</v>
      </c>
      <c r="M542" s="80" t="str">
        <v>含耦合装置，4米标配导杆、吊链，12米四芯电缆，铸铁材质。带搅匀功能,电泳漆。2025.10.9,预付当批货款金额30%，供方提供等额预付款保函（现金转账），货到现场一个月付至结算金额97%（先抵扣预付款后再支付当批货款，现金转账），质保金3%的结算金额，质保2年。</v>
      </c>
    </row>
    <row r="543" spans="1:13">
      <c r="A543" s="54">
        <v>0</v>
      </c>
      <c r="B543" s="54" t="str">
        <v>耦合</v>
      </c>
      <c r="C543" s="54" t="str">
        <v>DN50</v>
      </c>
      <c r="D543" s="54">
        <v>0</v>
      </c>
      <c r="E543" s="54">
        <v>0</v>
      </c>
      <c r="F543" s="54">
        <v>0</v>
      </c>
      <c r="G543" s="54">
        <v>0</v>
      </c>
      <c r="H543" s="54">
        <v>0</v>
      </c>
      <c r="I543" s="54">
        <v>0</v>
      </c>
      <c r="J543" s="54">
        <v>0</v>
      </c>
      <c r="K543" s="54">
        <v>0</v>
      </c>
      <c r="L543" s="54" t="str">
        <v>上海连成</v>
      </c>
      <c r="M543" s="80">
        <v>0</v>
      </c>
    </row>
    <row r="544" ht="98" spans="1:13">
      <c r="A544" s="54">
        <v>0</v>
      </c>
      <c r="B544" s="54" t="str">
        <v>控制柜</v>
      </c>
      <c r="C544" s="54" t="str">
        <v>LCC-3HS-3/B-BA</v>
      </c>
      <c r="D544" s="54">
        <v>0</v>
      </c>
      <c r="E544" s="54">
        <v>0</v>
      </c>
      <c r="F544" s="54">
        <v>0</v>
      </c>
      <c r="G544" s="54">
        <v>0</v>
      </c>
      <c r="H544" s="54">
        <v>1</v>
      </c>
      <c r="I544" s="54">
        <v>0</v>
      </c>
      <c r="J544" s="54">
        <v>1802</v>
      </c>
      <c r="K544" s="54">
        <v>1802</v>
      </c>
      <c r="L544" s="54" t="str">
        <v>上海连成</v>
      </c>
      <c r="M544" s="80" t="str">
        <v>一控三，四芯,主要器件国产，含三个浮球，（信号线12米）低液位停泵，高液位启一台泵，较高液位启两台泵，超高液位启3台泵并报警。BA系统对其运行状态和故障进行监视；2025.10.9,预付当批货款金额30%，供方提供等额预付款保函（现金转账），货到现场一个月付至结算金额97%（先抵扣预付款后再支付当批货款，现金转账），质保金3%的结算金额，质保2年。</v>
      </c>
    </row>
    <row r="545" ht="70" spans="1:13">
      <c r="A545" s="54">
        <v>9</v>
      </c>
      <c r="B545" s="54" t="str">
        <v>人防潜水排污泵</v>
      </c>
      <c r="C545" s="54" t="str">
        <v>50WQC15-22-2.2</v>
      </c>
      <c r="D545" s="54">
        <v>15</v>
      </c>
      <c r="E545" s="54">
        <v>22</v>
      </c>
      <c r="F545" s="54">
        <v>0</v>
      </c>
      <c r="G545" s="54">
        <v>2.2</v>
      </c>
      <c r="H545" s="54">
        <v>11</v>
      </c>
      <c r="I545" s="54">
        <v>0.13</v>
      </c>
      <c r="J545" s="54">
        <v>1153</v>
      </c>
      <c r="K545" s="54">
        <v>12683</v>
      </c>
      <c r="L545" s="54" t="str">
        <v>上海连成</v>
      </c>
      <c r="M545" s="80" t="str">
        <v>含硬管弯头，12米四芯电缆，铸铁材质。,电泳漆。2025.10.9,预付当批货款金额30%，供方提供等额预付款保函（现金转账），货到现场一个月付至结算金额97%（先抵扣预付款后再支付当批货款，现金转账），质保金3%的结算金额，质保2年。</v>
      </c>
    </row>
    <row r="546" ht="84" spans="1:13">
      <c r="A546" s="54">
        <v>0</v>
      </c>
      <c r="B546" s="54" t="str">
        <v>控制柜</v>
      </c>
      <c r="C546" s="54" t="str">
        <v>LCC-1S-2.2/B-BA</v>
      </c>
      <c r="D546" s="54">
        <v>0</v>
      </c>
      <c r="E546" s="54">
        <v>0</v>
      </c>
      <c r="F546" s="54">
        <v>0</v>
      </c>
      <c r="G546" s="54">
        <v>0</v>
      </c>
      <c r="H546" s="54">
        <v>11</v>
      </c>
      <c r="I546" s="54">
        <v>0</v>
      </c>
      <c r="J546" s="54">
        <v>540</v>
      </c>
      <c r="K546" s="54">
        <v>5940</v>
      </c>
      <c r="L546" s="54" t="str">
        <v>上海连成</v>
      </c>
      <c r="M546" s="80" t="str">
        <v>一控一，四芯,主要器件国产，含一个浮球，（信号线12米）低液位停泵，高液位启一台泵。BA系统对其运行状态和故障进行监视；2025.10.9,预付当批货款金额30%，供方提供等额预付款保函（现金转账），货到现场一个月付至结算金额97%（先抵扣预付款后再支付当批货款，现金转账），质保金3%的结算金额，质保2年。</v>
      </c>
    </row>
    <row r="547" spans="1:13">
      <c r="A547" s="54">
        <v>1</v>
      </c>
      <c r="B547" s="54" t="str">
        <v>潜水排污泵</v>
      </c>
      <c r="C547" s="54" t="str">
        <v>FAB-C05 -25.035A/T025-538</v>
      </c>
      <c r="D547" s="54">
        <v>8</v>
      </c>
      <c r="E547" s="54">
        <v>22</v>
      </c>
      <c r="F547" s="54" t="str">
        <v>/</v>
      </c>
      <c r="G547" s="54">
        <v>2.5</v>
      </c>
      <c r="H547" s="54">
        <v>16</v>
      </c>
      <c r="I547" s="54">
        <v>0.13</v>
      </c>
      <c r="J547" s="54">
        <v>5150</v>
      </c>
      <c r="K547" s="54">
        <v>82400</v>
      </c>
      <c r="L547" s="54">
        <v>0</v>
      </c>
      <c r="M547" s="80" t="str">
        <v>含电缆10米，泵体材质：不锈钢，泵轴：不锈钢</v>
      </c>
    </row>
    <row r="548" spans="1:13">
      <c r="A548" s="54">
        <v>0</v>
      </c>
      <c r="B548" s="54" t="str">
        <v>自耦</v>
      </c>
      <c r="C548" s="54">
        <v>0</v>
      </c>
      <c r="D548" s="54">
        <v>0</v>
      </c>
      <c r="E548" s="54">
        <v>0</v>
      </c>
      <c r="F548" s="54">
        <v>0</v>
      </c>
      <c r="G548" s="54">
        <v>0</v>
      </c>
      <c r="H548" s="54">
        <v>16</v>
      </c>
      <c r="I548" s="54">
        <v>0.13</v>
      </c>
      <c r="J548" s="54">
        <v>0</v>
      </c>
      <c r="K548" s="54">
        <v>0</v>
      </c>
      <c r="L548" s="54">
        <v>0</v>
      </c>
      <c r="M548" s="80" t="str">
        <v>含耦合</v>
      </c>
    </row>
    <row r="549" spans="1:13">
      <c r="A549" s="54">
        <v>0</v>
      </c>
      <c r="B549" s="54" t="str">
        <v>导杆</v>
      </c>
      <c r="C549" s="54" t="str">
        <v>每根1.5m</v>
      </c>
      <c r="D549" s="54">
        <v>0</v>
      </c>
      <c r="E549" s="54">
        <v>0</v>
      </c>
      <c r="F549" s="54">
        <v>0</v>
      </c>
      <c r="G549" s="54">
        <v>0</v>
      </c>
      <c r="H549" s="54">
        <v>16</v>
      </c>
      <c r="I549" s="54">
        <v>0.13</v>
      </c>
      <c r="J549" s="54">
        <v>0</v>
      </c>
      <c r="K549" s="54">
        <v>0</v>
      </c>
      <c r="L549" s="54">
        <v>0</v>
      </c>
      <c r="M549" s="80" t="str">
        <v>镀锌</v>
      </c>
    </row>
    <row r="550" spans="1:13">
      <c r="A550" s="54">
        <v>0</v>
      </c>
      <c r="B550" s="54" t="str">
        <v>链条</v>
      </c>
      <c r="C550" s="54" t="str">
        <v>每条不锈钢链条1.5m</v>
      </c>
      <c r="D550" s="54">
        <v>0</v>
      </c>
      <c r="E550" s="54">
        <v>0</v>
      </c>
      <c r="F550" s="54">
        <v>0</v>
      </c>
      <c r="G550" s="54">
        <v>0</v>
      </c>
      <c r="H550" s="54">
        <v>16</v>
      </c>
      <c r="I550" s="54">
        <v>0.13</v>
      </c>
      <c r="J550" s="54">
        <v>0</v>
      </c>
      <c r="K550" s="54">
        <v>0</v>
      </c>
      <c r="L550" s="54">
        <v>0</v>
      </c>
      <c r="M550" s="80" t="str">
        <v>不锈钢，包含卸扣</v>
      </c>
    </row>
    <row r="551" ht="28" spans="1:13">
      <c r="A551" s="54">
        <v>0</v>
      </c>
      <c r="B551" s="54" t="str">
        <v>控制柜</v>
      </c>
      <c r="C551" s="54" t="str">
        <v>一控二</v>
      </c>
      <c r="D551" s="54">
        <v>0</v>
      </c>
      <c r="E551" s="54">
        <v>0</v>
      </c>
      <c r="F551" s="54">
        <v>0</v>
      </c>
      <c r="G551" s="54">
        <v>0</v>
      </c>
      <c r="H551" s="54">
        <v>0</v>
      </c>
      <c r="I551" s="54">
        <v>0.13</v>
      </c>
      <c r="J551" s="54">
        <v>0</v>
      </c>
      <c r="K551" s="54">
        <v>0</v>
      </c>
      <c r="L551" s="54">
        <v>0</v>
      </c>
      <c r="M551" s="80" t="str">
        <v>自动交替；超高水位同时启动；带BA接口：只监不控（运行、停止、故障）/带高液位报警</v>
      </c>
    </row>
    <row r="552" spans="1:13">
      <c r="A552" s="54">
        <v>0</v>
      </c>
      <c r="B552" s="54" t="str">
        <v>浮球</v>
      </c>
      <c r="C552" s="54" t="str">
        <v>一组2个浮球，控制线4m</v>
      </c>
      <c r="D552" s="54">
        <v>0</v>
      </c>
      <c r="E552" s="54">
        <v>0</v>
      </c>
      <c r="F552" s="54">
        <v>0</v>
      </c>
      <c r="G552" s="54">
        <v>0</v>
      </c>
      <c r="H552" s="54">
        <v>8</v>
      </c>
      <c r="I552" s="54">
        <v>0.13</v>
      </c>
      <c r="J552" s="54">
        <v>58</v>
      </c>
      <c r="K552" s="54">
        <v>464</v>
      </c>
      <c r="L552" s="54">
        <v>0</v>
      </c>
      <c r="M552" s="80">
        <v>0</v>
      </c>
    </row>
    <row r="553" spans="1:13">
      <c r="A553" s="54">
        <v>2</v>
      </c>
      <c r="B553" s="54" t="str">
        <v>潜水排污泵</v>
      </c>
      <c r="C553" s="54" t="str">
        <v>FAB-C05 -25.035A/T025-538</v>
      </c>
      <c r="D553" s="54">
        <v>10</v>
      </c>
      <c r="E553" s="54">
        <v>22</v>
      </c>
      <c r="F553" s="54" t="str">
        <v>/</v>
      </c>
      <c r="G553" s="54">
        <v>2.5</v>
      </c>
      <c r="H553" s="54">
        <v>2</v>
      </c>
      <c r="I553" s="54">
        <v>0.13</v>
      </c>
      <c r="J553" s="54">
        <v>5150</v>
      </c>
      <c r="K553" s="54">
        <v>10300</v>
      </c>
      <c r="L553" s="54">
        <v>0</v>
      </c>
      <c r="M553" s="80" t="str">
        <v>含电缆10米，泵体材质：不锈钢，泵轴：不锈钢</v>
      </c>
    </row>
    <row r="554" spans="1:13">
      <c r="A554" s="54">
        <v>0</v>
      </c>
      <c r="B554" s="54" t="str">
        <v>自耦</v>
      </c>
      <c r="C554" s="54">
        <v>0</v>
      </c>
      <c r="D554" s="54">
        <v>0</v>
      </c>
      <c r="E554" s="54">
        <v>0</v>
      </c>
      <c r="F554" s="54">
        <v>0</v>
      </c>
      <c r="G554" s="54">
        <v>0</v>
      </c>
      <c r="H554" s="54">
        <v>2</v>
      </c>
      <c r="I554" s="54">
        <v>0.13</v>
      </c>
      <c r="J554" s="54">
        <v>0</v>
      </c>
      <c r="K554" s="54">
        <v>0</v>
      </c>
      <c r="L554" s="54">
        <v>0</v>
      </c>
      <c r="M554" s="80" t="str">
        <v>含耦合</v>
      </c>
    </row>
    <row r="555" spans="1:13">
      <c r="A555" s="54">
        <v>0</v>
      </c>
      <c r="B555" s="54" t="str">
        <v>导杆</v>
      </c>
      <c r="C555" s="54" t="str">
        <v>每个1.5m</v>
      </c>
      <c r="D555" s="54">
        <v>0</v>
      </c>
      <c r="E555" s="54">
        <v>0</v>
      </c>
      <c r="F555" s="54">
        <v>0</v>
      </c>
      <c r="G555" s="54">
        <v>0</v>
      </c>
      <c r="H555" s="54">
        <v>2</v>
      </c>
      <c r="I555" s="54">
        <v>0.13</v>
      </c>
      <c r="J555" s="54">
        <v>0</v>
      </c>
      <c r="K555" s="54">
        <v>0</v>
      </c>
      <c r="L555" s="54">
        <v>0</v>
      </c>
      <c r="M555" s="80" t="str">
        <v>镀锌</v>
      </c>
    </row>
    <row r="556" spans="1:13">
      <c r="A556" s="54">
        <v>0</v>
      </c>
      <c r="B556" s="54" t="str">
        <v>链条</v>
      </c>
      <c r="C556" s="54" t="str">
        <v>每条不锈钢链条1.5m</v>
      </c>
      <c r="D556" s="54">
        <v>0</v>
      </c>
      <c r="E556" s="54">
        <v>0</v>
      </c>
      <c r="F556" s="54">
        <v>0</v>
      </c>
      <c r="G556" s="54">
        <v>0</v>
      </c>
      <c r="H556" s="54">
        <v>2</v>
      </c>
      <c r="I556" s="54">
        <v>0.13</v>
      </c>
      <c r="J556" s="54">
        <v>0</v>
      </c>
      <c r="K556" s="54">
        <v>0</v>
      </c>
      <c r="L556" s="54">
        <v>0</v>
      </c>
      <c r="M556" s="80" t="str">
        <v>不锈钢，包含卸扣</v>
      </c>
    </row>
    <row r="557" ht="28" spans="1:13">
      <c r="A557" s="54">
        <v>0</v>
      </c>
      <c r="B557" s="54" t="str">
        <v>控制柜</v>
      </c>
      <c r="C557" s="54" t="str">
        <v>一控二</v>
      </c>
      <c r="D557" s="54">
        <v>0</v>
      </c>
      <c r="E557" s="54">
        <v>0</v>
      </c>
      <c r="F557" s="54">
        <v>0</v>
      </c>
      <c r="G557" s="54">
        <v>0</v>
      </c>
      <c r="H557" s="54">
        <v>0</v>
      </c>
      <c r="I557" s="54">
        <v>0.13</v>
      </c>
      <c r="J557" s="54">
        <v>0</v>
      </c>
      <c r="K557" s="54">
        <v>0</v>
      </c>
      <c r="L557" s="54">
        <v>0</v>
      </c>
      <c r="M557" s="80" t="str">
        <v>自动交替；超高水位同时启动；带BA接口：只监不控（运行、停止、故障）/带高液位报警</v>
      </c>
    </row>
    <row r="558" spans="1:13">
      <c r="A558" s="54">
        <v>0</v>
      </c>
      <c r="B558" s="54" t="str">
        <v>浮球</v>
      </c>
      <c r="C558" s="54" t="str">
        <v>一组2个浮球，控制线4m</v>
      </c>
      <c r="D558" s="54">
        <v>0</v>
      </c>
      <c r="E558" s="54">
        <v>0</v>
      </c>
      <c r="F558" s="54">
        <v>0</v>
      </c>
      <c r="G558" s="54">
        <v>0</v>
      </c>
      <c r="H558" s="54">
        <v>1</v>
      </c>
      <c r="I558" s="54">
        <v>0.13</v>
      </c>
      <c r="J558" s="54">
        <v>58</v>
      </c>
      <c r="K558" s="54">
        <v>58</v>
      </c>
      <c r="L558" s="54">
        <v>0</v>
      </c>
      <c r="M558" s="80">
        <v>0</v>
      </c>
    </row>
    <row r="559" spans="1:13">
      <c r="A559" s="54">
        <v>3</v>
      </c>
      <c r="B559" s="54" t="str">
        <v>潜水排污泵</v>
      </c>
      <c r="C559" s="54" t="str">
        <v>FAB-C05 -25.035A/T025-538</v>
      </c>
      <c r="D559" s="54">
        <v>15</v>
      </c>
      <c r="E559" s="54">
        <v>20</v>
      </c>
      <c r="F559" s="54" t="str">
        <v>/</v>
      </c>
      <c r="G559" s="54">
        <v>2.5</v>
      </c>
      <c r="H559" s="54">
        <v>2</v>
      </c>
      <c r="I559" s="54">
        <v>0.13</v>
      </c>
      <c r="J559" s="54">
        <v>5150</v>
      </c>
      <c r="K559" s="54">
        <v>10300</v>
      </c>
      <c r="L559" s="54">
        <v>0</v>
      </c>
      <c r="M559" s="80" t="str">
        <v>含电缆10米，泵体材质：不锈钢，泵轴：不锈钢</v>
      </c>
    </row>
    <row r="560" spans="1:13">
      <c r="A560" s="54">
        <v>0</v>
      </c>
      <c r="B560" s="54" t="str">
        <v>自耦</v>
      </c>
      <c r="C560" s="54">
        <v>0</v>
      </c>
      <c r="D560" s="54">
        <v>0</v>
      </c>
      <c r="E560" s="54">
        <v>0</v>
      </c>
      <c r="F560" s="54">
        <v>0</v>
      </c>
      <c r="G560" s="54">
        <v>0</v>
      </c>
      <c r="H560" s="54">
        <v>2</v>
      </c>
      <c r="I560" s="54">
        <v>0.13</v>
      </c>
      <c r="J560" s="54">
        <v>0</v>
      </c>
      <c r="K560" s="54">
        <v>0</v>
      </c>
      <c r="L560" s="54">
        <v>0</v>
      </c>
      <c r="M560" s="80" t="str">
        <v>含耦合</v>
      </c>
    </row>
    <row r="561" spans="1:13">
      <c r="A561" s="54">
        <v>0</v>
      </c>
      <c r="B561" s="54" t="str">
        <v>导杆</v>
      </c>
      <c r="C561" s="54" t="str">
        <v>每个1.5m</v>
      </c>
      <c r="D561" s="54">
        <v>0</v>
      </c>
      <c r="E561" s="54">
        <v>0</v>
      </c>
      <c r="F561" s="54">
        <v>0</v>
      </c>
      <c r="G561" s="54">
        <v>0</v>
      </c>
      <c r="H561" s="54">
        <v>2</v>
      </c>
      <c r="I561" s="54">
        <v>0.13</v>
      </c>
      <c r="J561" s="54">
        <v>0</v>
      </c>
      <c r="K561" s="54">
        <v>0</v>
      </c>
      <c r="L561" s="54">
        <v>0</v>
      </c>
      <c r="M561" s="80" t="str">
        <v>镀锌</v>
      </c>
    </row>
    <row r="562" spans="1:13">
      <c r="A562" s="54">
        <v>0</v>
      </c>
      <c r="B562" s="54" t="str">
        <v>链条</v>
      </c>
      <c r="C562" s="54" t="str">
        <v>每条不锈钢链条1.5m</v>
      </c>
      <c r="D562" s="54">
        <v>0</v>
      </c>
      <c r="E562" s="54">
        <v>0</v>
      </c>
      <c r="F562" s="54">
        <v>0</v>
      </c>
      <c r="G562" s="54">
        <v>0</v>
      </c>
      <c r="H562" s="54">
        <v>2</v>
      </c>
      <c r="I562" s="54">
        <v>0.13</v>
      </c>
      <c r="J562" s="54">
        <v>0</v>
      </c>
      <c r="K562" s="54">
        <v>0</v>
      </c>
      <c r="L562" s="54">
        <v>0</v>
      </c>
      <c r="M562" s="80" t="str">
        <v>不锈钢，包含卸扣</v>
      </c>
    </row>
    <row r="563" ht="28" spans="1:13">
      <c r="A563" s="54">
        <v>0</v>
      </c>
      <c r="B563" s="54" t="str">
        <v>控制柜</v>
      </c>
      <c r="C563" s="54" t="str">
        <v>一控二</v>
      </c>
      <c r="D563" s="54">
        <v>0</v>
      </c>
      <c r="E563" s="54">
        <v>0</v>
      </c>
      <c r="F563" s="54">
        <v>0</v>
      </c>
      <c r="G563" s="54">
        <v>0</v>
      </c>
      <c r="H563" s="54">
        <v>0</v>
      </c>
      <c r="I563" s="54">
        <v>0.13</v>
      </c>
      <c r="J563" s="54">
        <v>0</v>
      </c>
      <c r="K563" s="54">
        <v>0</v>
      </c>
      <c r="L563" s="54">
        <v>0</v>
      </c>
      <c r="M563" s="80" t="str">
        <v>自动交替；超高水位同时启动；带BA接口：只监不控（运行、停止、故障）/带高液位报警</v>
      </c>
    </row>
    <row r="564" spans="1:13">
      <c r="A564" s="54">
        <v>0</v>
      </c>
      <c r="B564" s="54" t="str">
        <v>浮球</v>
      </c>
      <c r="C564" s="54" t="str">
        <v>一组2个浮球，控制线4m</v>
      </c>
      <c r="D564" s="54">
        <v>0</v>
      </c>
      <c r="E564" s="54">
        <v>0</v>
      </c>
      <c r="F564" s="54">
        <v>0</v>
      </c>
      <c r="G564" s="54">
        <v>0</v>
      </c>
      <c r="H564" s="54">
        <v>1</v>
      </c>
      <c r="I564" s="54">
        <v>0.13</v>
      </c>
      <c r="J564" s="54">
        <v>58</v>
      </c>
      <c r="K564" s="54">
        <v>58</v>
      </c>
      <c r="L564" s="54">
        <v>0</v>
      </c>
      <c r="M564" s="80">
        <v>0</v>
      </c>
    </row>
    <row r="565" spans="1:13">
      <c r="A565" s="54">
        <v>4</v>
      </c>
      <c r="B565" s="54" t="str">
        <v>潜水排污泵</v>
      </c>
      <c r="C565" s="54" t="str">
        <v>潜污泵 FAB-C05 - 35.035A/T039-538</v>
      </c>
      <c r="D565" s="54">
        <v>25</v>
      </c>
      <c r="E565" s="54">
        <v>22</v>
      </c>
      <c r="F565" s="54" t="str">
        <v>/</v>
      </c>
      <c r="G565" s="54">
        <v>3.9</v>
      </c>
      <c r="H565" s="54">
        <v>64</v>
      </c>
      <c r="I565" s="54">
        <v>0.13</v>
      </c>
      <c r="J565" s="54">
        <v>5893</v>
      </c>
      <c r="K565" s="54">
        <v>377152</v>
      </c>
      <c r="L565" s="54">
        <v>0</v>
      </c>
      <c r="M565" s="80" t="str">
        <v>含电缆10米，泵体材质：不锈钢，泵轴：不锈钢</v>
      </c>
    </row>
    <row r="566" spans="1:13">
      <c r="A566" s="54">
        <v>0</v>
      </c>
      <c r="B566" s="54" t="str">
        <v>自耦</v>
      </c>
      <c r="C566" s="54">
        <v>0</v>
      </c>
      <c r="D566" s="54">
        <v>0</v>
      </c>
      <c r="E566" s="54">
        <v>0</v>
      </c>
      <c r="F566" s="54">
        <v>0</v>
      </c>
      <c r="G566" s="54">
        <v>0</v>
      </c>
      <c r="H566" s="54">
        <v>64</v>
      </c>
      <c r="I566" s="54">
        <v>0.13</v>
      </c>
      <c r="J566" s="54">
        <v>0</v>
      </c>
      <c r="K566" s="54">
        <v>0</v>
      </c>
      <c r="L566" s="54">
        <v>0</v>
      </c>
      <c r="M566" s="80" t="str">
        <v>含耦合</v>
      </c>
    </row>
    <row r="567" spans="1:13">
      <c r="A567" s="54">
        <v>0</v>
      </c>
      <c r="B567" s="54" t="str">
        <v>导杆</v>
      </c>
      <c r="C567" s="54" t="str">
        <v>每个1.5m</v>
      </c>
      <c r="D567" s="54">
        <v>0</v>
      </c>
      <c r="E567" s="54">
        <v>0</v>
      </c>
      <c r="F567" s="54">
        <v>0</v>
      </c>
      <c r="G567" s="54">
        <v>0</v>
      </c>
      <c r="H567" s="54">
        <v>64</v>
      </c>
      <c r="I567" s="54">
        <v>0.13</v>
      </c>
      <c r="J567" s="54">
        <v>0</v>
      </c>
      <c r="K567" s="54">
        <v>0</v>
      </c>
      <c r="L567" s="54">
        <v>0</v>
      </c>
      <c r="M567" s="80" t="str">
        <v>镀锌</v>
      </c>
    </row>
    <row r="568" spans="1:13">
      <c r="A568" s="54">
        <v>0</v>
      </c>
      <c r="B568" s="54" t="str">
        <v>链条</v>
      </c>
      <c r="C568" s="54" t="str">
        <v>每条不锈钢链条1.5m</v>
      </c>
      <c r="D568" s="54">
        <v>0</v>
      </c>
      <c r="E568" s="54">
        <v>0</v>
      </c>
      <c r="F568" s="54">
        <v>0</v>
      </c>
      <c r="G568" s="54">
        <v>0</v>
      </c>
      <c r="H568" s="54">
        <v>64</v>
      </c>
      <c r="I568" s="54">
        <v>0.13</v>
      </c>
      <c r="J568" s="54">
        <v>0</v>
      </c>
      <c r="K568" s="54">
        <v>0</v>
      </c>
      <c r="L568" s="54">
        <v>0</v>
      </c>
      <c r="M568" s="80" t="str">
        <v>不锈钢，包含卸扣</v>
      </c>
    </row>
    <row r="569" ht="28" spans="1:13">
      <c r="A569" s="54">
        <v>0</v>
      </c>
      <c r="B569" s="54" t="str">
        <v>控制柜</v>
      </c>
      <c r="C569" s="54" t="str">
        <v>一控二</v>
      </c>
      <c r="D569" s="54">
        <v>0</v>
      </c>
      <c r="E569" s="54">
        <v>0</v>
      </c>
      <c r="F569" s="54">
        <v>0</v>
      </c>
      <c r="G569" s="54">
        <v>0</v>
      </c>
      <c r="H569" s="54">
        <v>0</v>
      </c>
      <c r="I569" s="54">
        <v>0.13</v>
      </c>
      <c r="J569" s="54">
        <v>0</v>
      </c>
      <c r="K569" s="54">
        <v>0</v>
      </c>
      <c r="L569" s="54">
        <v>0</v>
      </c>
      <c r="M569" s="80" t="str">
        <v>自动交替；超高水位同时启动；带BA接口：只监不控（运行、停止、故障）/带高液位报警</v>
      </c>
    </row>
    <row r="570" spans="1:13">
      <c r="A570" s="54">
        <v>0</v>
      </c>
      <c r="B570" s="54" t="str">
        <v>浮球</v>
      </c>
      <c r="C570" s="54" t="str">
        <v>一组2个浮球，控制线4m</v>
      </c>
      <c r="D570" s="54">
        <v>0</v>
      </c>
      <c r="E570" s="54">
        <v>0</v>
      </c>
      <c r="F570" s="54">
        <v>0</v>
      </c>
      <c r="G570" s="54">
        <v>0</v>
      </c>
      <c r="H570" s="54">
        <v>32</v>
      </c>
      <c r="I570" s="54">
        <v>0.13</v>
      </c>
      <c r="J570" s="54">
        <v>58</v>
      </c>
      <c r="K570" s="54">
        <v>1856</v>
      </c>
      <c r="L570" s="54">
        <v>0</v>
      </c>
      <c r="M570" s="80">
        <v>0</v>
      </c>
    </row>
    <row r="571" spans="1:13">
      <c r="A571" s="54">
        <v>5</v>
      </c>
      <c r="B571" s="54" t="str">
        <v>潜水排污泵</v>
      </c>
      <c r="C571" s="54" t="str">
        <v>潜污泵 FAB-C05 - 35.035A/T039-538</v>
      </c>
      <c r="D571" s="54">
        <v>25</v>
      </c>
      <c r="E571" s="54">
        <v>25</v>
      </c>
      <c r="F571" s="54" t="str">
        <v>/</v>
      </c>
      <c r="G571" s="54">
        <v>3.9</v>
      </c>
      <c r="H571" s="54">
        <v>6</v>
      </c>
      <c r="I571" s="54">
        <v>0.13</v>
      </c>
      <c r="J571" s="54">
        <v>5893</v>
      </c>
      <c r="K571" s="54">
        <v>35358</v>
      </c>
      <c r="L571" s="54">
        <v>0</v>
      </c>
      <c r="M571" s="80" t="str">
        <v>含电缆10米，泵体材质：不锈钢，泵轴：不锈钢</v>
      </c>
    </row>
    <row r="572" spans="1:13">
      <c r="A572" s="54">
        <v>0</v>
      </c>
      <c r="B572" s="54" t="str">
        <v>自耦</v>
      </c>
      <c r="C572" s="54">
        <v>0</v>
      </c>
      <c r="D572" s="54">
        <v>0</v>
      </c>
      <c r="E572" s="54">
        <v>0</v>
      </c>
      <c r="F572" s="54">
        <v>0</v>
      </c>
      <c r="G572" s="54">
        <v>0</v>
      </c>
      <c r="H572" s="54">
        <v>6</v>
      </c>
      <c r="I572" s="54">
        <v>0.13</v>
      </c>
      <c r="J572" s="54">
        <v>0</v>
      </c>
      <c r="K572" s="54">
        <v>0</v>
      </c>
      <c r="L572" s="54">
        <v>0</v>
      </c>
      <c r="M572" s="80" t="str">
        <v>含耦合</v>
      </c>
    </row>
    <row r="573" spans="1:13">
      <c r="A573" s="54">
        <v>0</v>
      </c>
      <c r="B573" s="54" t="str">
        <v>导杆</v>
      </c>
      <c r="C573" s="54" t="str">
        <v>每个1.5m</v>
      </c>
      <c r="D573" s="54">
        <v>0</v>
      </c>
      <c r="E573" s="54">
        <v>0</v>
      </c>
      <c r="F573" s="54">
        <v>0</v>
      </c>
      <c r="G573" s="54">
        <v>0</v>
      </c>
      <c r="H573" s="54">
        <v>6</v>
      </c>
      <c r="I573" s="54">
        <v>0.13</v>
      </c>
      <c r="J573" s="54">
        <v>0</v>
      </c>
      <c r="K573" s="54">
        <v>0</v>
      </c>
      <c r="L573" s="54">
        <v>0</v>
      </c>
      <c r="M573" s="80" t="str">
        <v>镀锌</v>
      </c>
    </row>
    <row r="574" spans="1:13">
      <c r="A574" s="54">
        <v>0</v>
      </c>
      <c r="B574" s="54" t="str">
        <v>链条</v>
      </c>
      <c r="C574" s="54" t="str">
        <v>每条不锈钢链条1.5m</v>
      </c>
      <c r="D574" s="54">
        <v>0</v>
      </c>
      <c r="E574" s="54">
        <v>0</v>
      </c>
      <c r="F574" s="54">
        <v>0</v>
      </c>
      <c r="G574" s="54">
        <v>0</v>
      </c>
      <c r="H574" s="54">
        <v>6</v>
      </c>
      <c r="I574" s="54">
        <v>0.13</v>
      </c>
      <c r="J574" s="54">
        <v>0</v>
      </c>
      <c r="K574" s="54">
        <v>0</v>
      </c>
      <c r="L574" s="54">
        <v>0</v>
      </c>
      <c r="M574" s="80" t="str">
        <v>不锈钢，包含卸扣</v>
      </c>
    </row>
    <row r="575" ht="28" spans="1:13">
      <c r="A575" s="54">
        <v>0</v>
      </c>
      <c r="B575" s="54" t="str">
        <v>控制柜</v>
      </c>
      <c r="C575" s="54" t="str">
        <v>一控三</v>
      </c>
      <c r="D575" s="54">
        <v>0</v>
      </c>
      <c r="E575" s="54">
        <v>0</v>
      </c>
      <c r="F575" s="54">
        <v>0</v>
      </c>
      <c r="G575" s="54">
        <v>0</v>
      </c>
      <c r="H575" s="54">
        <v>0</v>
      </c>
      <c r="I575" s="54">
        <v>0.13</v>
      </c>
      <c r="J575" s="54">
        <v>0</v>
      </c>
      <c r="K575" s="54">
        <v>0</v>
      </c>
      <c r="L575" s="54">
        <v>0</v>
      </c>
      <c r="M575" s="80" t="str">
        <v>自动交替；超高水位同时启动；带BA接口：只监不控（运行、停止、故障）/带高液位报警</v>
      </c>
    </row>
    <row r="576" spans="1:13">
      <c r="A576" s="54">
        <v>0</v>
      </c>
      <c r="B576" s="54" t="str">
        <v>浮球</v>
      </c>
      <c r="C576" s="54" t="str">
        <v>一组3个浮球，控制线6m</v>
      </c>
      <c r="D576" s="54">
        <v>0</v>
      </c>
      <c r="E576" s="54">
        <v>0</v>
      </c>
      <c r="F576" s="54">
        <v>0</v>
      </c>
      <c r="G576" s="54">
        <v>0</v>
      </c>
      <c r="H576" s="54">
        <v>2</v>
      </c>
      <c r="I576" s="54">
        <v>0.13</v>
      </c>
      <c r="J576" s="54">
        <v>58</v>
      </c>
      <c r="K576" s="54">
        <v>116</v>
      </c>
      <c r="L576" s="54">
        <v>0</v>
      </c>
      <c r="M576" s="80">
        <v>0</v>
      </c>
    </row>
    <row r="577" spans="1:13">
      <c r="A577" s="54">
        <v>6</v>
      </c>
      <c r="B577" s="54" t="str">
        <v>潜水排污泵</v>
      </c>
      <c r="C577" s="54" t="str">
        <v>潜污泵 FAB-C06 - 29.060A/T050-538</v>
      </c>
      <c r="D577" s="54">
        <v>36</v>
      </c>
      <c r="E577" s="54">
        <v>25</v>
      </c>
      <c r="F577" s="54" t="str">
        <v>/</v>
      </c>
      <c r="G577" s="54">
        <v>5</v>
      </c>
      <c r="H577" s="54">
        <v>6</v>
      </c>
      <c r="I577" s="54">
        <v>0.13</v>
      </c>
      <c r="J577" s="54">
        <v>6742</v>
      </c>
      <c r="K577" s="54">
        <v>40452</v>
      </c>
      <c r="L577" s="54">
        <v>0</v>
      </c>
      <c r="M577" s="80" t="str">
        <v>含电缆10米，泵体材质：不锈钢，泵轴：不锈钢</v>
      </c>
    </row>
    <row r="578" spans="1:13">
      <c r="A578" s="54">
        <v>0</v>
      </c>
      <c r="B578" s="54" t="str">
        <v>自耦</v>
      </c>
      <c r="C578" s="54">
        <v>0</v>
      </c>
      <c r="D578" s="54">
        <v>0</v>
      </c>
      <c r="E578" s="54">
        <v>0</v>
      </c>
      <c r="F578" s="54">
        <v>0</v>
      </c>
      <c r="G578" s="54">
        <v>0</v>
      </c>
      <c r="H578" s="54">
        <v>6</v>
      </c>
      <c r="I578" s="54">
        <v>0.13</v>
      </c>
      <c r="J578" s="54">
        <v>0</v>
      </c>
      <c r="K578" s="54">
        <v>0</v>
      </c>
      <c r="L578" s="54">
        <v>0</v>
      </c>
      <c r="M578" s="80" t="str">
        <v>含耦合</v>
      </c>
    </row>
    <row r="579" spans="1:13">
      <c r="A579" s="54">
        <v>0</v>
      </c>
      <c r="B579" s="54" t="str">
        <v>导杆</v>
      </c>
      <c r="C579" s="54" t="str">
        <v>每个1.5m</v>
      </c>
      <c r="D579" s="54">
        <v>0</v>
      </c>
      <c r="E579" s="54">
        <v>0</v>
      </c>
      <c r="F579" s="54">
        <v>0</v>
      </c>
      <c r="G579" s="54">
        <v>0</v>
      </c>
      <c r="H579" s="54">
        <v>6</v>
      </c>
      <c r="I579" s="54">
        <v>0.13</v>
      </c>
      <c r="J579" s="54">
        <v>0</v>
      </c>
      <c r="K579" s="54">
        <v>0</v>
      </c>
      <c r="L579" s="54">
        <v>0</v>
      </c>
      <c r="M579" s="80" t="str">
        <v>镀锌</v>
      </c>
    </row>
    <row r="580" spans="1:13">
      <c r="A580" s="54">
        <v>0</v>
      </c>
      <c r="B580" s="54" t="str">
        <v>链条</v>
      </c>
      <c r="C580" s="54" t="str">
        <v>每条不锈钢链条1.5m</v>
      </c>
      <c r="D580" s="54">
        <v>0</v>
      </c>
      <c r="E580" s="54">
        <v>0</v>
      </c>
      <c r="F580" s="54">
        <v>0</v>
      </c>
      <c r="G580" s="54">
        <v>0</v>
      </c>
      <c r="H580" s="54">
        <v>6</v>
      </c>
      <c r="I580" s="54">
        <v>0.13</v>
      </c>
      <c r="J580" s="54">
        <v>0</v>
      </c>
      <c r="K580" s="54">
        <v>0</v>
      </c>
      <c r="L580" s="54">
        <v>0</v>
      </c>
      <c r="M580" s="80" t="str">
        <v>不锈钢，包含卸扣</v>
      </c>
    </row>
    <row r="581" ht="28" spans="1:13">
      <c r="A581" s="54">
        <v>0</v>
      </c>
      <c r="B581" s="54" t="str">
        <v>控制柜</v>
      </c>
      <c r="C581" s="54" t="str">
        <v>一控二</v>
      </c>
      <c r="D581" s="54">
        <v>0</v>
      </c>
      <c r="E581" s="54">
        <v>0</v>
      </c>
      <c r="F581" s="54">
        <v>0</v>
      </c>
      <c r="G581" s="54">
        <v>0</v>
      </c>
      <c r="H581" s="54">
        <v>0</v>
      </c>
      <c r="I581" s="54">
        <v>0.13</v>
      </c>
      <c r="J581" s="54">
        <v>0</v>
      </c>
      <c r="K581" s="54">
        <v>0</v>
      </c>
      <c r="L581" s="54">
        <v>0</v>
      </c>
      <c r="M581" s="80" t="str">
        <v>自动交替；超高水位同时启动；带BA接口：只监不控（运行、停止、故障）/带高液位报警</v>
      </c>
    </row>
    <row r="582" spans="1:13">
      <c r="A582" s="54">
        <v>0</v>
      </c>
      <c r="B582" s="54" t="str">
        <v>浮球</v>
      </c>
      <c r="C582" s="54" t="str">
        <v>一组2个浮球，控制线4m</v>
      </c>
      <c r="D582" s="54">
        <v>0</v>
      </c>
      <c r="E582" s="54">
        <v>0</v>
      </c>
      <c r="F582" s="54">
        <v>0</v>
      </c>
      <c r="G582" s="54">
        <v>0</v>
      </c>
      <c r="H582" s="54">
        <v>3</v>
      </c>
      <c r="I582" s="54">
        <v>0.13</v>
      </c>
      <c r="J582" s="54">
        <v>58</v>
      </c>
      <c r="K582" s="54">
        <v>174</v>
      </c>
      <c r="L582" s="54">
        <v>0</v>
      </c>
      <c r="M582" s="80">
        <v>0</v>
      </c>
    </row>
    <row r="583" spans="1:13">
      <c r="A583" s="54">
        <v>7</v>
      </c>
      <c r="B583" s="54" t="str">
        <v>潜水排污泵</v>
      </c>
      <c r="C583" s="54" t="str">
        <v>潜污泵 FAB-C06 - 29.060A/T050-538</v>
      </c>
      <c r="D583" s="54">
        <v>40</v>
      </c>
      <c r="E583" s="54">
        <v>22</v>
      </c>
      <c r="F583" s="54" t="str">
        <v>/</v>
      </c>
      <c r="G583" s="54">
        <v>5</v>
      </c>
      <c r="H583" s="54">
        <v>18</v>
      </c>
      <c r="I583" s="54">
        <v>0.13</v>
      </c>
      <c r="J583" s="54">
        <v>6742</v>
      </c>
      <c r="K583" s="54">
        <v>121356</v>
      </c>
      <c r="L583" s="54">
        <v>0</v>
      </c>
      <c r="M583" s="80" t="str">
        <v>含电缆10米，泵体材质：不锈钢，泵轴：不锈钢</v>
      </c>
    </row>
    <row r="584" spans="1:13">
      <c r="A584" s="54">
        <v>0</v>
      </c>
      <c r="B584" s="54" t="str">
        <v>自耦</v>
      </c>
      <c r="C584" s="54">
        <v>0</v>
      </c>
      <c r="D584" s="54">
        <v>0</v>
      </c>
      <c r="E584" s="54">
        <v>0</v>
      </c>
      <c r="F584" s="54">
        <v>0</v>
      </c>
      <c r="G584" s="54">
        <v>0</v>
      </c>
      <c r="H584" s="54">
        <v>18</v>
      </c>
      <c r="I584" s="54">
        <v>0.13</v>
      </c>
      <c r="J584" s="54">
        <v>0</v>
      </c>
      <c r="K584" s="54">
        <v>0</v>
      </c>
      <c r="L584" s="54">
        <v>0</v>
      </c>
      <c r="M584" s="80" t="str">
        <v>含耦合</v>
      </c>
    </row>
    <row r="585" spans="1:13">
      <c r="A585" s="54">
        <v>0</v>
      </c>
      <c r="B585" s="54" t="str">
        <v>导杆</v>
      </c>
      <c r="C585" s="54" t="str">
        <v>每个1.5m</v>
      </c>
      <c r="D585" s="54">
        <v>0</v>
      </c>
      <c r="E585" s="54">
        <v>0</v>
      </c>
      <c r="F585" s="54">
        <v>0</v>
      </c>
      <c r="G585" s="54">
        <v>0</v>
      </c>
      <c r="H585" s="54">
        <v>18</v>
      </c>
      <c r="I585" s="54">
        <v>0.13</v>
      </c>
      <c r="J585" s="54">
        <v>0</v>
      </c>
      <c r="K585" s="54">
        <v>0</v>
      </c>
      <c r="L585" s="54">
        <v>0</v>
      </c>
      <c r="M585" s="80" t="str">
        <v>镀锌</v>
      </c>
    </row>
    <row r="586" spans="1:13">
      <c r="A586" s="54">
        <v>0</v>
      </c>
      <c r="B586" s="54" t="str">
        <v>链条</v>
      </c>
      <c r="C586" s="54" t="str">
        <v>每条不锈钢链条1.5m</v>
      </c>
      <c r="D586" s="54">
        <v>0</v>
      </c>
      <c r="E586" s="54">
        <v>0</v>
      </c>
      <c r="F586" s="54">
        <v>0</v>
      </c>
      <c r="G586" s="54">
        <v>0</v>
      </c>
      <c r="H586" s="54">
        <v>18</v>
      </c>
      <c r="I586" s="54">
        <v>0.13</v>
      </c>
      <c r="J586" s="54">
        <v>0</v>
      </c>
      <c r="K586" s="54">
        <v>0</v>
      </c>
      <c r="L586" s="54">
        <v>0</v>
      </c>
      <c r="M586" s="80" t="str">
        <v>不锈钢，包含卸扣</v>
      </c>
    </row>
    <row r="587" ht="28" spans="1:13">
      <c r="A587" s="54">
        <v>0</v>
      </c>
      <c r="B587" s="54" t="str">
        <v>控制柜</v>
      </c>
      <c r="C587" s="54" t="str">
        <v>一控三</v>
      </c>
      <c r="D587" s="54">
        <v>0</v>
      </c>
      <c r="E587" s="54">
        <v>0</v>
      </c>
      <c r="F587" s="54">
        <v>0</v>
      </c>
      <c r="G587" s="54">
        <v>0</v>
      </c>
      <c r="H587" s="54">
        <v>0</v>
      </c>
      <c r="I587" s="54">
        <v>0.13</v>
      </c>
      <c r="J587" s="54">
        <v>0</v>
      </c>
      <c r="K587" s="54">
        <v>0</v>
      </c>
      <c r="L587" s="54">
        <v>0</v>
      </c>
      <c r="M587" s="80" t="str">
        <v>自动交替；超高水位同时启动；带BA接口：只监不控（运行、停止、故障）/带高液位报警</v>
      </c>
    </row>
    <row r="588" spans="1:13">
      <c r="A588" s="54">
        <v>0</v>
      </c>
      <c r="B588" s="54" t="str">
        <v>浮球</v>
      </c>
      <c r="C588" s="54" t="str">
        <v>一组3个浮球，控制线6m</v>
      </c>
      <c r="D588" s="54">
        <v>0</v>
      </c>
      <c r="E588" s="54">
        <v>0</v>
      </c>
      <c r="F588" s="54">
        <v>0</v>
      </c>
      <c r="G588" s="54">
        <v>0</v>
      </c>
      <c r="H588" s="54">
        <v>6</v>
      </c>
      <c r="I588" s="54">
        <v>0.13</v>
      </c>
      <c r="J588" s="54">
        <v>58</v>
      </c>
      <c r="K588" s="54">
        <v>348</v>
      </c>
      <c r="L588" s="54">
        <v>0</v>
      </c>
      <c r="M588" s="80">
        <v>0</v>
      </c>
    </row>
    <row r="589" spans="1:13">
      <c r="A589" s="54">
        <v>8</v>
      </c>
      <c r="B589" s="54" t="str">
        <v>潜水排污泵</v>
      </c>
      <c r="C589" s="54" t="str">
        <v>潜污泵 FAB-C06 - 23.058A/T025-538</v>
      </c>
      <c r="D589" s="54">
        <v>46.3</v>
      </c>
      <c r="E589" s="54">
        <v>15</v>
      </c>
      <c r="F589" s="54" t="str">
        <v>/</v>
      </c>
      <c r="G589" s="54">
        <v>2.5</v>
      </c>
      <c r="H589" s="54">
        <v>4</v>
      </c>
      <c r="I589" s="54">
        <v>0.13</v>
      </c>
      <c r="J589" s="54">
        <v>5188</v>
      </c>
      <c r="K589" s="54">
        <v>20752</v>
      </c>
      <c r="L589" s="54">
        <v>0</v>
      </c>
      <c r="M589" s="80" t="str">
        <v>含电缆10米，泵体材质：不锈钢，泵轴：不锈钢</v>
      </c>
    </row>
    <row r="590" spans="1:13">
      <c r="A590" s="54">
        <v>0</v>
      </c>
      <c r="B590" s="54" t="str">
        <v>自耦</v>
      </c>
      <c r="C590" s="54">
        <v>0</v>
      </c>
      <c r="D590" s="54">
        <v>0</v>
      </c>
      <c r="E590" s="54">
        <v>0</v>
      </c>
      <c r="F590" s="54">
        <v>0</v>
      </c>
      <c r="G590" s="54">
        <v>0</v>
      </c>
      <c r="H590" s="54">
        <v>4</v>
      </c>
      <c r="I590" s="54">
        <v>0.13</v>
      </c>
      <c r="J590" s="54">
        <v>0</v>
      </c>
      <c r="K590" s="54">
        <v>0</v>
      </c>
      <c r="L590" s="54">
        <v>0</v>
      </c>
      <c r="M590" s="80" t="str">
        <v>含耦合</v>
      </c>
    </row>
    <row r="591" spans="1:13">
      <c r="A591" s="54">
        <v>0</v>
      </c>
      <c r="B591" s="54" t="str">
        <v>导杆</v>
      </c>
      <c r="C591" s="54" t="str">
        <v>每个1.5m</v>
      </c>
      <c r="D591" s="54">
        <v>0</v>
      </c>
      <c r="E591" s="54">
        <v>0</v>
      </c>
      <c r="F591" s="54">
        <v>0</v>
      </c>
      <c r="G591" s="54">
        <v>0</v>
      </c>
      <c r="H591" s="54">
        <v>4</v>
      </c>
      <c r="I591" s="54">
        <v>0.13</v>
      </c>
      <c r="J591" s="54">
        <v>0</v>
      </c>
      <c r="K591" s="54">
        <v>0</v>
      </c>
      <c r="L591" s="54">
        <v>0</v>
      </c>
      <c r="M591" s="80" t="str">
        <v>镀锌</v>
      </c>
    </row>
    <row r="592" spans="1:13">
      <c r="A592" s="54">
        <v>0</v>
      </c>
      <c r="B592" s="54" t="str">
        <v>链条</v>
      </c>
      <c r="C592" s="54" t="str">
        <v>每条不锈钢链条1.5m</v>
      </c>
      <c r="D592" s="54">
        <v>0</v>
      </c>
      <c r="E592" s="54">
        <v>0</v>
      </c>
      <c r="F592" s="54">
        <v>0</v>
      </c>
      <c r="G592" s="54">
        <v>0</v>
      </c>
      <c r="H592" s="54">
        <v>4</v>
      </c>
      <c r="I592" s="54">
        <v>0.13</v>
      </c>
      <c r="J592" s="54">
        <v>0</v>
      </c>
      <c r="K592" s="54">
        <v>0</v>
      </c>
      <c r="L592" s="54">
        <v>0</v>
      </c>
      <c r="M592" s="80" t="str">
        <v>不锈钢，包含卸扣</v>
      </c>
    </row>
    <row r="593" ht="28" spans="1:13">
      <c r="A593" s="54">
        <v>0</v>
      </c>
      <c r="B593" s="54" t="str">
        <v>控制柜</v>
      </c>
      <c r="C593" s="54" t="str">
        <v>一控四</v>
      </c>
      <c r="D593" s="54">
        <v>0</v>
      </c>
      <c r="E593" s="54">
        <v>0</v>
      </c>
      <c r="F593" s="54">
        <v>0</v>
      </c>
      <c r="G593" s="54">
        <v>0</v>
      </c>
      <c r="H593" s="54">
        <v>0</v>
      </c>
      <c r="I593" s="54">
        <v>0.13</v>
      </c>
      <c r="J593" s="54">
        <v>0</v>
      </c>
      <c r="K593" s="54">
        <v>0</v>
      </c>
      <c r="L593" s="54">
        <v>0</v>
      </c>
      <c r="M593" s="80" t="str">
        <v>自动交替；超高水位同时启动；带BA接口：只监不控（运行、停止、故障）/带高液位报警</v>
      </c>
    </row>
    <row r="594" spans="1:13">
      <c r="A594" s="54">
        <v>0</v>
      </c>
      <c r="B594" s="54" t="str">
        <v>浮球</v>
      </c>
      <c r="C594" s="54" t="str">
        <v>一组4个浮球，控制线8m</v>
      </c>
      <c r="D594" s="54">
        <v>0</v>
      </c>
      <c r="E594" s="54">
        <v>0</v>
      </c>
      <c r="F594" s="54">
        <v>0</v>
      </c>
      <c r="G594" s="54">
        <v>0</v>
      </c>
      <c r="H594" s="54">
        <v>1</v>
      </c>
      <c r="I594" s="54">
        <v>0.13</v>
      </c>
      <c r="J594" s="54">
        <v>58</v>
      </c>
      <c r="K594" s="54">
        <v>58</v>
      </c>
      <c r="L594" s="54">
        <v>0</v>
      </c>
      <c r="M594" s="80">
        <v>0</v>
      </c>
    </row>
    <row r="595" spans="1:13">
      <c r="A595" s="54">
        <v>9</v>
      </c>
      <c r="B595" s="54" t="str">
        <v>潜水排污泵</v>
      </c>
      <c r="C595" s="54" t="str">
        <v>FAG80C45.80/110 DM 耦合怯-标准</v>
      </c>
      <c r="D595" s="54">
        <v>65</v>
      </c>
      <c r="E595" s="54">
        <v>22</v>
      </c>
      <c r="F595" s="54" t="str">
        <v>/</v>
      </c>
      <c r="G595" s="54">
        <v>11</v>
      </c>
      <c r="H595" s="54">
        <v>3</v>
      </c>
      <c r="I595" s="54">
        <v>0.13</v>
      </c>
      <c r="J595" s="54">
        <v>15532</v>
      </c>
      <c r="K595" s="54">
        <v>46596</v>
      </c>
      <c r="L595" s="54">
        <v>0</v>
      </c>
      <c r="M595" s="80" t="str">
        <v>含电缆10米，泵体材质：不锈钢，泵轴：不锈钢</v>
      </c>
    </row>
    <row r="596" spans="1:13">
      <c r="A596" s="54">
        <v>0</v>
      </c>
      <c r="B596" s="54" t="str">
        <v>自耦</v>
      </c>
      <c r="C596" s="54">
        <v>0</v>
      </c>
      <c r="D596" s="54">
        <v>0</v>
      </c>
      <c r="E596" s="54">
        <v>0</v>
      </c>
      <c r="F596" s="54">
        <v>0</v>
      </c>
      <c r="G596" s="54">
        <v>0</v>
      </c>
      <c r="H596" s="54">
        <v>3</v>
      </c>
      <c r="I596" s="54">
        <v>0.13</v>
      </c>
      <c r="J596" s="54">
        <v>0</v>
      </c>
      <c r="K596" s="54">
        <v>0</v>
      </c>
      <c r="L596" s="54">
        <v>0</v>
      </c>
      <c r="M596" s="80" t="str">
        <v>含耦合</v>
      </c>
    </row>
    <row r="597" spans="1:13">
      <c r="A597" s="54">
        <v>0</v>
      </c>
      <c r="B597" s="54" t="str">
        <v>导杆</v>
      </c>
      <c r="C597" s="54" t="str">
        <v>每个1.5m</v>
      </c>
      <c r="D597" s="54">
        <v>0</v>
      </c>
      <c r="E597" s="54">
        <v>0</v>
      </c>
      <c r="F597" s="54">
        <v>0</v>
      </c>
      <c r="G597" s="54">
        <v>0</v>
      </c>
      <c r="H597" s="54">
        <v>3</v>
      </c>
      <c r="I597" s="54">
        <v>0.13</v>
      </c>
      <c r="J597" s="54">
        <v>0</v>
      </c>
      <c r="K597" s="54">
        <v>0</v>
      </c>
      <c r="L597" s="54">
        <v>0</v>
      </c>
      <c r="M597" s="80" t="str">
        <v>镀锌</v>
      </c>
    </row>
    <row r="598" spans="1:13">
      <c r="A598" s="54">
        <v>0</v>
      </c>
      <c r="B598" s="54" t="str">
        <v>链条</v>
      </c>
      <c r="C598" s="54" t="str">
        <v>每条不锈钢链条1.5m</v>
      </c>
      <c r="D598" s="54">
        <v>0</v>
      </c>
      <c r="E598" s="54">
        <v>0</v>
      </c>
      <c r="F598" s="54">
        <v>0</v>
      </c>
      <c r="G598" s="54">
        <v>0</v>
      </c>
      <c r="H598" s="54">
        <v>3</v>
      </c>
      <c r="I598" s="54">
        <v>0.13</v>
      </c>
      <c r="J598" s="54">
        <v>0</v>
      </c>
      <c r="K598" s="54">
        <v>0</v>
      </c>
      <c r="L598" s="54">
        <v>0</v>
      </c>
      <c r="M598" s="80" t="str">
        <v>不锈钢，包含卸扣</v>
      </c>
    </row>
    <row r="599" ht="28" spans="1:13">
      <c r="A599" s="54">
        <v>0</v>
      </c>
      <c r="B599" s="54" t="str">
        <v>控制柜</v>
      </c>
      <c r="C599" s="54" t="str">
        <v>一控三</v>
      </c>
      <c r="D599" s="54">
        <v>0</v>
      </c>
      <c r="E599" s="54">
        <v>0</v>
      </c>
      <c r="F599" s="54">
        <v>0</v>
      </c>
      <c r="G599" s="54">
        <v>0</v>
      </c>
      <c r="H599" s="54">
        <v>0</v>
      </c>
      <c r="I599" s="54">
        <v>0.13</v>
      </c>
      <c r="J599" s="54">
        <v>0</v>
      </c>
      <c r="K599" s="54">
        <v>0</v>
      </c>
      <c r="L599" s="54">
        <v>0</v>
      </c>
      <c r="M599" s="80" t="str">
        <v>自动交替；超高水位同时启动；带BA接口：只监不控（运行、停止、故障）/带高液位报警</v>
      </c>
    </row>
    <row r="600" spans="1:13">
      <c r="A600" s="54">
        <v>0</v>
      </c>
      <c r="B600" s="54" t="str">
        <v>浮球</v>
      </c>
      <c r="C600" s="54" t="str">
        <v>一组3个浮球，控制线6m</v>
      </c>
      <c r="D600" s="54">
        <v>0</v>
      </c>
      <c r="E600" s="54">
        <v>0</v>
      </c>
      <c r="F600" s="54">
        <v>0</v>
      </c>
      <c r="G600" s="54">
        <v>0</v>
      </c>
      <c r="H600" s="54">
        <v>1</v>
      </c>
      <c r="I600" s="54">
        <v>0.13</v>
      </c>
      <c r="J600" s="54">
        <v>58</v>
      </c>
      <c r="K600" s="54">
        <v>58</v>
      </c>
      <c r="L600" s="54">
        <v>0</v>
      </c>
      <c r="M600" s="80">
        <v>0</v>
      </c>
    </row>
    <row r="601" spans="1:13">
      <c r="A601" s="54">
        <v>10</v>
      </c>
      <c r="B601" s="54" t="str">
        <v>污水提升一体化装置</v>
      </c>
      <c r="C601" s="54" t="str">
        <v>FAB-S03 -32.019A/T015-538</v>
      </c>
      <c r="D601" s="54">
        <v>12</v>
      </c>
      <c r="E601" s="54">
        <v>22</v>
      </c>
      <c r="F601" s="54" t="str">
        <v>/</v>
      </c>
      <c r="G601" s="54">
        <v>1.5</v>
      </c>
      <c r="H601" s="54">
        <v>2</v>
      </c>
      <c r="I601" s="54">
        <v>0.13</v>
      </c>
      <c r="J601" s="54">
        <v>22276</v>
      </c>
      <c r="K601" s="54">
        <v>44552</v>
      </c>
      <c r="L601" s="54">
        <v>0</v>
      </c>
      <c r="M601" s="80" t="str">
        <v>含电缆10米，泵体材质：不锈钢，泵轴：不锈钢</v>
      </c>
    </row>
    <row r="602" spans="1:13">
      <c r="A602" s="54">
        <v>0</v>
      </c>
      <c r="B602" s="54" t="str">
        <v>自耦</v>
      </c>
      <c r="C602" s="54">
        <v>0</v>
      </c>
      <c r="D602" s="54">
        <v>0</v>
      </c>
      <c r="E602" s="54">
        <v>0</v>
      </c>
      <c r="F602" s="54">
        <v>0</v>
      </c>
      <c r="G602" s="54">
        <v>0</v>
      </c>
      <c r="H602" s="54">
        <v>4</v>
      </c>
      <c r="I602" s="54">
        <v>0.13</v>
      </c>
      <c r="J602" s="54">
        <v>0</v>
      </c>
      <c r="K602" s="54">
        <v>0</v>
      </c>
      <c r="L602" s="54">
        <v>0</v>
      </c>
      <c r="M602" s="80" t="str">
        <v>含耦合</v>
      </c>
    </row>
    <row r="603" spans="1:13">
      <c r="A603" s="54">
        <v>0</v>
      </c>
      <c r="B603" s="54" t="str">
        <v>导杆</v>
      </c>
      <c r="C603" s="54" t="str">
        <v>每个1.5m</v>
      </c>
      <c r="D603" s="54">
        <v>0</v>
      </c>
      <c r="E603" s="54">
        <v>0</v>
      </c>
      <c r="F603" s="54">
        <v>0</v>
      </c>
      <c r="G603" s="54">
        <v>0</v>
      </c>
      <c r="H603" s="54">
        <v>4</v>
      </c>
      <c r="I603" s="54">
        <v>0.13</v>
      </c>
      <c r="J603" s="54">
        <v>0</v>
      </c>
      <c r="K603" s="54">
        <v>0</v>
      </c>
      <c r="L603" s="54">
        <v>0</v>
      </c>
      <c r="M603" s="80" t="str">
        <v>镀锌</v>
      </c>
    </row>
    <row r="604" spans="1:13">
      <c r="A604" s="54">
        <v>0</v>
      </c>
      <c r="B604" s="54" t="str">
        <v>链条</v>
      </c>
      <c r="C604" s="54" t="str">
        <v>每条不锈钢链条1.5m</v>
      </c>
      <c r="D604" s="54">
        <v>0</v>
      </c>
      <c r="E604" s="54">
        <v>0</v>
      </c>
      <c r="F604" s="54">
        <v>0</v>
      </c>
      <c r="G604" s="54">
        <v>0</v>
      </c>
      <c r="H604" s="54">
        <v>4</v>
      </c>
      <c r="I604" s="54">
        <v>0.13</v>
      </c>
      <c r="J604" s="54">
        <v>0</v>
      </c>
      <c r="K604" s="54">
        <v>0</v>
      </c>
      <c r="L604" s="54">
        <v>0</v>
      </c>
      <c r="M604" s="80" t="str">
        <v>不锈钢，包含卸扣</v>
      </c>
    </row>
    <row r="605" ht="28" spans="1:13">
      <c r="A605" s="54">
        <v>0</v>
      </c>
      <c r="B605" s="54" t="str">
        <v>控制柜</v>
      </c>
      <c r="C605" s="54" t="str">
        <v>一控二</v>
      </c>
      <c r="D605" s="54">
        <v>0</v>
      </c>
      <c r="E605" s="54">
        <v>0</v>
      </c>
      <c r="F605" s="54">
        <v>0</v>
      </c>
      <c r="G605" s="54">
        <v>0</v>
      </c>
      <c r="H605" s="54">
        <v>0</v>
      </c>
      <c r="I605" s="54">
        <v>0.13</v>
      </c>
      <c r="J605" s="54">
        <v>0</v>
      </c>
      <c r="K605" s="54">
        <v>0</v>
      </c>
      <c r="L605" s="54">
        <v>0</v>
      </c>
      <c r="M605" s="80" t="str">
        <v>自动交替；超高水位同时启动；带BA接口：只监不控（运行、停止、故障）/带高液位报警</v>
      </c>
    </row>
    <row r="606" spans="1:13">
      <c r="A606" s="54">
        <v>0</v>
      </c>
      <c r="B606" s="54" t="str">
        <v>浮球</v>
      </c>
      <c r="C606" s="54" t="str">
        <v>一组2个浮球，控制线4m</v>
      </c>
      <c r="D606" s="54">
        <v>0</v>
      </c>
      <c r="E606" s="54">
        <v>0</v>
      </c>
      <c r="F606" s="54">
        <v>0</v>
      </c>
      <c r="G606" s="54">
        <v>0</v>
      </c>
      <c r="H606" s="54">
        <v>2</v>
      </c>
      <c r="I606" s="54">
        <v>0.13</v>
      </c>
      <c r="J606" s="54">
        <v>58</v>
      </c>
      <c r="K606" s="54">
        <v>116</v>
      </c>
      <c r="L606" s="54">
        <v>0</v>
      </c>
      <c r="M606" s="80">
        <v>0</v>
      </c>
    </row>
    <row r="607" spans="1:13">
      <c r="A607" s="54">
        <v>11</v>
      </c>
      <c r="B607" s="54" t="str">
        <v>潜水排污泵（人防）</v>
      </c>
      <c r="C607" s="54" t="str">
        <v>潜污泵 FAB-C05 - 25.035A/T025-538</v>
      </c>
      <c r="D607" s="54">
        <v>15</v>
      </c>
      <c r="E607" s="54">
        <v>20</v>
      </c>
      <c r="F607" s="54" t="str">
        <v>/</v>
      </c>
      <c r="G607" s="54">
        <v>2.5</v>
      </c>
      <c r="H607" s="54">
        <v>1</v>
      </c>
      <c r="I607" s="54">
        <v>0.13</v>
      </c>
      <c r="J607" s="54">
        <v>4736</v>
      </c>
      <c r="K607" s="54">
        <v>4736</v>
      </c>
      <c r="L607" s="54">
        <v>0</v>
      </c>
      <c r="M607" s="80" t="str">
        <v>含电缆10米，泵体材质：不锈钢，泵轴：不锈钢</v>
      </c>
    </row>
    <row r="608" spans="1:13">
      <c r="A608" s="54">
        <v>0</v>
      </c>
      <c r="B608" s="54" t="str">
        <v>自耦</v>
      </c>
      <c r="C608" s="54">
        <v>0</v>
      </c>
      <c r="D608" s="54">
        <v>0</v>
      </c>
      <c r="E608" s="54">
        <v>0</v>
      </c>
      <c r="F608" s="54">
        <v>0</v>
      </c>
      <c r="G608" s="54">
        <v>0</v>
      </c>
      <c r="H608" s="54">
        <v>1</v>
      </c>
      <c r="I608" s="54">
        <v>0.13</v>
      </c>
      <c r="J608" s="54">
        <v>0</v>
      </c>
      <c r="K608" s="54">
        <v>0</v>
      </c>
      <c r="L608" s="54">
        <v>0</v>
      </c>
      <c r="M608" s="80" t="str">
        <v>含耦合</v>
      </c>
    </row>
    <row r="609" spans="1:13">
      <c r="A609" s="54">
        <v>0</v>
      </c>
      <c r="B609" s="54" t="str">
        <v>导杆</v>
      </c>
      <c r="C609" s="54" t="str">
        <v>每个1.5m</v>
      </c>
      <c r="D609" s="54">
        <v>0</v>
      </c>
      <c r="E609" s="54">
        <v>0</v>
      </c>
      <c r="F609" s="54">
        <v>0</v>
      </c>
      <c r="G609" s="54">
        <v>0</v>
      </c>
      <c r="H609" s="54">
        <v>1</v>
      </c>
      <c r="I609" s="54">
        <v>0.13</v>
      </c>
      <c r="J609" s="54">
        <v>0</v>
      </c>
      <c r="K609" s="54">
        <v>0</v>
      </c>
      <c r="L609" s="54">
        <v>0</v>
      </c>
      <c r="M609" s="80" t="str">
        <v>镀锌</v>
      </c>
    </row>
    <row r="610" spans="1:13">
      <c r="A610" s="54">
        <v>0</v>
      </c>
      <c r="B610" s="54" t="str">
        <v>链条</v>
      </c>
      <c r="C610" s="54" t="str">
        <v>每条不锈钢链条1.5m</v>
      </c>
      <c r="D610" s="54">
        <v>0</v>
      </c>
      <c r="E610" s="54">
        <v>0</v>
      </c>
      <c r="F610" s="54">
        <v>0</v>
      </c>
      <c r="G610" s="54">
        <v>0</v>
      </c>
      <c r="H610" s="54">
        <v>1</v>
      </c>
      <c r="I610" s="54">
        <v>0.13</v>
      </c>
      <c r="J610" s="54">
        <v>0</v>
      </c>
      <c r="K610" s="54">
        <v>0</v>
      </c>
      <c r="L610" s="54">
        <v>0</v>
      </c>
      <c r="M610" s="80" t="str">
        <v>不锈钢，包含卸扣</v>
      </c>
    </row>
    <row r="611" ht="28" spans="1:13">
      <c r="A611" s="54">
        <v>0</v>
      </c>
      <c r="B611" s="54" t="str">
        <v>控制柜</v>
      </c>
      <c r="C611" s="54" t="str">
        <v>一控一</v>
      </c>
      <c r="D611" s="54">
        <v>0</v>
      </c>
      <c r="E611" s="54">
        <v>0</v>
      </c>
      <c r="F611" s="54">
        <v>0</v>
      </c>
      <c r="G611" s="54">
        <v>0</v>
      </c>
      <c r="H611" s="54">
        <v>0</v>
      </c>
      <c r="I611" s="54">
        <v>0.13</v>
      </c>
      <c r="J611" s="54">
        <v>0</v>
      </c>
      <c r="K611" s="54">
        <v>0</v>
      </c>
      <c r="L611" s="54">
        <v>0</v>
      </c>
      <c r="M611" s="80" t="str">
        <v>自动交替；超高水位同时启动；带BA接口：只监不控（运行、停止、故障）/带高液位报警</v>
      </c>
    </row>
    <row r="612" spans="1:13">
      <c r="A612" s="54">
        <v>0</v>
      </c>
      <c r="B612" s="54" t="str">
        <v>浮球</v>
      </c>
      <c r="C612" s="54" t="str">
        <v>一组1个浮球，控制线2m</v>
      </c>
      <c r="D612" s="54">
        <v>0</v>
      </c>
      <c r="E612" s="54">
        <v>0</v>
      </c>
      <c r="F612" s="54">
        <v>0</v>
      </c>
      <c r="G612" s="54">
        <v>0</v>
      </c>
      <c r="H612" s="54">
        <v>1</v>
      </c>
      <c r="I612" s="54">
        <v>0.13</v>
      </c>
      <c r="J612" s="54">
        <v>0</v>
      </c>
      <c r="K612" s="54">
        <v>0</v>
      </c>
      <c r="L612" s="54">
        <v>0</v>
      </c>
      <c r="M612" s="80">
        <v>0</v>
      </c>
    </row>
    <row r="613" spans="1:13">
      <c r="A613" s="54">
        <v>12</v>
      </c>
      <c r="B613" s="54" t="str">
        <v>手摇泵（人防）</v>
      </c>
      <c r="C613" s="54" t="str">
        <v>CS-32H型</v>
      </c>
      <c r="D613" s="54">
        <v>0</v>
      </c>
      <c r="E613" s="54">
        <v>0</v>
      </c>
      <c r="F613" s="54">
        <v>0</v>
      </c>
      <c r="G613" s="54">
        <v>0</v>
      </c>
      <c r="H613" s="54">
        <v>1</v>
      </c>
      <c r="I613" s="54">
        <v>0.13</v>
      </c>
      <c r="J613" s="54">
        <v>740</v>
      </c>
      <c r="K613" s="54">
        <v>740</v>
      </c>
      <c r="L613" s="54">
        <v>0</v>
      </c>
      <c r="M613" s="80">
        <v>0</v>
      </c>
    </row>
    <row r="614" spans="1:13">
      <c r="A614" s="54">
        <v>0</v>
      </c>
      <c r="B614" s="54" t="str">
        <v>自耦</v>
      </c>
      <c r="C614" s="54">
        <v>0</v>
      </c>
      <c r="D614" s="54">
        <v>0</v>
      </c>
      <c r="E614" s="54">
        <v>0</v>
      </c>
      <c r="F614" s="54">
        <v>0</v>
      </c>
      <c r="G614" s="54">
        <v>0</v>
      </c>
      <c r="H614" s="54">
        <v>0</v>
      </c>
      <c r="I614" s="54">
        <v>0.13</v>
      </c>
      <c r="J614" s="54">
        <v>0</v>
      </c>
      <c r="K614" s="54">
        <v>0</v>
      </c>
      <c r="L614" s="54">
        <v>0</v>
      </c>
      <c r="M614" s="80">
        <v>0</v>
      </c>
    </row>
    <row r="615" spans="1:13">
      <c r="A615" s="54">
        <v>0</v>
      </c>
      <c r="B615" s="54" t="str">
        <v>导杆</v>
      </c>
      <c r="C615" s="54">
        <v>0</v>
      </c>
      <c r="D615" s="54">
        <v>0</v>
      </c>
      <c r="E615" s="54">
        <v>0</v>
      </c>
      <c r="F615" s="54">
        <v>0</v>
      </c>
      <c r="G615" s="54">
        <v>0</v>
      </c>
      <c r="H615" s="54">
        <v>0</v>
      </c>
      <c r="I615" s="54">
        <v>0.13</v>
      </c>
      <c r="J615" s="54">
        <v>0</v>
      </c>
      <c r="K615" s="54">
        <v>0</v>
      </c>
      <c r="L615" s="54">
        <v>0</v>
      </c>
      <c r="M615" s="80">
        <v>0</v>
      </c>
    </row>
    <row r="616" spans="1:13">
      <c r="A616" s="54">
        <v>0</v>
      </c>
      <c r="B616" s="54" t="str">
        <v>链条</v>
      </c>
      <c r="C616" s="54">
        <v>0</v>
      </c>
      <c r="D616" s="54">
        <v>0</v>
      </c>
      <c r="E616" s="54">
        <v>0</v>
      </c>
      <c r="F616" s="54">
        <v>0</v>
      </c>
      <c r="G616" s="54">
        <v>0</v>
      </c>
      <c r="H616" s="54">
        <v>0</v>
      </c>
      <c r="I616" s="54">
        <v>0.13</v>
      </c>
      <c r="J616" s="54">
        <v>0</v>
      </c>
      <c r="K616" s="54">
        <v>0</v>
      </c>
      <c r="L616" s="54">
        <v>0</v>
      </c>
      <c r="M616" s="80">
        <v>0</v>
      </c>
    </row>
    <row r="617" spans="1:13">
      <c r="A617" s="54">
        <v>0</v>
      </c>
      <c r="B617" s="54" t="str">
        <v>控制柜</v>
      </c>
      <c r="C617" s="54">
        <v>0</v>
      </c>
      <c r="D617" s="54">
        <v>0</v>
      </c>
      <c r="E617" s="54">
        <v>0</v>
      </c>
      <c r="F617" s="54">
        <v>0</v>
      </c>
      <c r="G617" s="54">
        <v>0</v>
      </c>
      <c r="H617" s="54">
        <v>0</v>
      </c>
      <c r="I617" s="54">
        <v>0.13</v>
      </c>
      <c r="J617" s="54">
        <v>0</v>
      </c>
      <c r="K617" s="54">
        <v>0</v>
      </c>
      <c r="L617" s="54">
        <v>0</v>
      </c>
      <c r="M617" s="80">
        <v>0</v>
      </c>
    </row>
    <row r="618" spans="1:13">
      <c r="A618" s="54">
        <v>0</v>
      </c>
      <c r="B618" s="54" t="str">
        <v>浮球</v>
      </c>
      <c r="C618" s="54">
        <v>0</v>
      </c>
      <c r="D618" s="54">
        <v>0</v>
      </c>
      <c r="E618" s="54">
        <v>0</v>
      </c>
      <c r="F618" s="54">
        <v>0</v>
      </c>
      <c r="G618" s="54">
        <v>0</v>
      </c>
      <c r="H618" s="54">
        <v>0</v>
      </c>
      <c r="I618" s="54">
        <v>0.13</v>
      </c>
      <c r="J618" s="54">
        <v>0</v>
      </c>
      <c r="K618" s="54">
        <v>0</v>
      </c>
      <c r="L618" s="54">
        <v>0</v>
      </c>
      <c r="M618" s="80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6"/>
  <sheetViews>
    <sheetView workbookViewId="0">
      <selection activeCell="C63" sqref="C63"/>
    </sheetView>
  </sheetViews>
  <sheetFormatPr defaultColWidth="8.72727272727273" defaultRowHeight="14"/>
  <cols>
    <col min="13" max="13" width="37.8181818181818" customWidth="1"/>
  </cols>
  <sheetData>
    <row r="1" ht="26" spans="1:13">
      <c r="A1" s="25" t="s">
        <v>1</v>
      </c>
      <c r="B1" s="26" t="s">
        <v>2</v>
      </c>
      <c r="C1" s="26" t="s">
        <v>3</v>
      </c>
      <c r="D1" s="25" t="s">
        <v>4</v>
      </c>
      <c r="E1" s="25" t="s">
        <v>5</v>
      </c>
      <c r="F1" s="26" t="s">
        <v>6</v>
      </c>
      <c r="G1" s="25" t="s">
        <v>7</v>
      </c>
      <c r="H1" s="26" t="s">
        <v>8</v>
      </c>
      <c r="I1" s="26" t="s">
        <v>9</v>
      </c>
      <c r="J1" s="27" t="s">
        <v>10</v>
      </c>
      <c r="K1" s="28" t="s">
        <v>11</v>
      </c>
      <c r="L1" s="28" t="s">
        <v>26</v>
      </c>
      <c r="M1" s="26" t="s">
        <v>12</v>
      </c>
    </row>
    <row r="2" ht="24" spans="1:13">
      <c r="A2" s="62">
        <v>1</v>
      </c>
      <c r="B2" s="63" t="s">
        <v>27</v>
      </c>
      <c r="C2" s="64" t="s">
        <v>28</v>
      </c>
      <c r="D2" s="65">
        <v>20</v>
      </c>
      <c r="E2" s="65">
        <v>18</v>
      </c>
      <c r="F2" s="66">
        <v>2840</v>
      </c>
      <c r="G2" s="67">
        <v>2.2</v>
      </c>
      <c r="H2" s="68">
        <v>2</v>
      </c>
      <c r="I2" s="69">
        <v>0.13</v>
      </c>
      <c r="J2" s="70">
        <v>1650</v>
      </c>
      <c r="K2" s="71">
        <f t="shared" ref="K2:K65" si="0">J2*H2</f>
        <v>3300</v>
      </c>
      <c r="L2" s="71" t="s">
        <v>29</v>
      </c>
      <c r="M2" s="72" t="s">
        <v>30</v>
      </c>
    </row>
    <row r="3" ht="24" spans="1:13">
      <c r="A3" s="62"/>
      <c r="B3" s="63" t="s">
        <v>15</v>
      </c>
      <c r="C3" s="64" t="s">
        <v>31</v>
      </c>
      <c r="D3" s="73"/>
      <c r="E3" s="73"/>
      <c r="F3" s="74"/>
      <c r="G3" s="75"/>
      <c r="H3" s="68">
        <v>2</v>
      </c>
      <c r="I3" s="69">
        <v>0.13</v>
      </c>
      <c r="J3" s="70">
        <v>400</v>
      </c>
      <c r="K3" s="71">
        <f t="shared" si="0"/>
        <v>800</v>
      </c>
      <c r="L3" s="71" t="s">
        <v>29</v>
      </c>
      <c r="M3" s="72" t="s">
        <v>30</v>
      </c>
    </row>
    <row r="4" ht="24" spans="1:13">
      <c r="A4" s="62"/>
      <c r="B4" s="63" t="s">
        <v>17</v>
      </c>
      <c r="C4" s="64" t="s">
        <v>32</v>
      </c>
      <c r="D4" s="73"/>
      <c r="E4" s="73"/>
      <c r="F4" s="74"/>
      <c r="G4" s="75"/>
      <c r="H4" s="68">
        <v>2</v>
      </c>
      <c r="I4" s="69">
        <v>0.13</v>
      </c>
      <c r="J4" s="70">
        <v>190</v>
      </c>
      <c r="K4" s="71">
        <f t="shared" si="0"/>
        <v>380</v>
      </c>
      <c r="L4" s="71" t="s">
        <v>29</v>
      </c>
      <c r="M4" s="72" t="s">
        <v>30</v>
      </c>
    </row>
    <row r="5" ht="24" spans="1:13">
      <c r="A5" s="62"/>
      <c r="B5" s="63" t="s">
        <v>19</v>
      </c>
      <c r="C5" s="64" t="s">
        <v>33</v>
      </c>
      <c r="D5" s="73"/>
      <c r="E5" s="73"/>
      <c r="F5" s="74"/>
      <c r="G5" s="75"/>
      <c r="H5" s="68">
        <v>2</v>
      </c>
      <c r="I5" s="69">
        <v>0.13</v>
      </c>
      <c r="J5" s="70">
        <v>60</v>
      </c>
      <c r="K5" s="71">
        <f t="shared" si="0"/>
        <v>120</v>
      </c>
      <c r="L5" s="71" t="s">
        <v>29</v>
      </c>
      <c r="M5" s="72" t="s">
        <v>30</v>
      </c>
    </row>
    <row r="6" ht="24" spans="1:13">
      <c r="A6" s="62"/>
      <c r="B6" s="63" t="s">
        <v>23</v>
      </c>
      <c r="C6" s="64" t="s">
        <v>34</v>
      </c>
      <c r="D6" s="76"/>
      <c r="E6" s="76"/>
      <c r="F6" s="77"/>
      <c r="G6" s="78"/>
      <c r="H6" s="68">
        <v>2</v>
      </c>
      <c r="I6" s="69">
        <v>0.13</v>
      </c>
      <c r="J6" s="70">
        <v>70</v>
      </c>
      <c r="K6" s="71">
        <f t="shared" si="0"/>
        <v>140</v>
      </c>
      <c r="L6" s="71" t="s">
        <v>29</v>
      </c>
      <c r="M6" s="72" t="s">
        <v>30</v>
      </c>
    </row>
    <row r="7" ht="28.5" spans="1:13">
      <c r="A7" s="62">
        <v>2</v>
      </c>
      <c r="B7" s="63" t="s">
        <v>35</v>
      </c>
      <c r="C7" s="64" t="s">
        <v>36</v>
      </c>
      <c r="D7" s="65">
        <v>10</v>
      </c>
      <c r="E7" s="65">
        <v>18</v>
      </c>
      <c r="F7" s="66">
        <v>2840</v>
      </c>
      <c r="G7" s="67">
        <v>1.5</v>
      </c>
      <c r="H7" s="68">
        <v>1</v>
      </c>
      <c r="I7" s="69">
        <v>0.13</v>
      </c>
      <c r="J7" s="70">
        <v>1520</v>
      </c>
      <c r="K7" s="71">
        <f t="shared" si="0"/>
        <v>1520</v>
      </c>
      <c r="L7" s="71" t="s">
        <v>29</v>
      </c>
      <c r="M7" s="72" t="s">
        <v>30</v>
      </c>
    </row>
    <row r="8" ht="24" spans="1:13">
      <c r="A8" s="62"/>
      <c r="B8" s="63" t="s">
        <v>15</v>
      </c>
      <c r="C8" s="64" t="s">
        <v>31</v>
      </c>
      <c r="D8" s="73"/>
      <c r="E8" s="73"/>
      <c r="F8" s="74"/>
      <c r="G8" s="75"/>
      <c r="H8" s="68">
        <v>1</v>
      </c>
      <c r="I8" s="69">
        <v>0.13</v>
      </c>
      <c r="J8" s="70">
        <v>400</v>
      </c>
      <c r="K8" s="71">
        <f t="shared" si="0"/>
        <v>400</v>
      </c>
      <c r="L8" s="71" t="s">
        <v>29</v>
      </c>
      <c r="M8" s="72" t="s">
        <v>30</v>
      </c>
    </row>
    <row r="9" ht="24" spans="1:13">
      <c r="A9" s="62"/>
      <c r="B9" s="63" t="s">
        <v>17</v>
      </c>
      <c r="C9" s="64" t="s">
        <v>32</v>
      </c>
      <c r="D9" s="73"/>
      <c r="E9" s="73"/>
      <c r="F9" s="74"/>
      <c r="G9" s="75"/>
      <c r="H9" s="68">
        <v>1</v>
      </c>
      <c r="I9" s="69">
        <v>0.13</v>
      </c>
      <c r="J9" s="70">
        <v>190</v>
      </c>
      <c r="K9" s="71">
        <f t="shared" si="0"/>
        <v>190</v>
      </c>
      <c r="L9" s="71" t="s">
        <v>29</v>
      </c>
      <c r="M9" s="72" t="s">
        <v>30</v>
      </c>
    </row>
    <row r="10" ht="24" spans="1:13">
      <c r="A10" s="62"/>
      <c r="B10" s="63" t="s">
        <v>19</v>
      </c>
      <c r="C10" s="64" t="s">
        <v>33</v>
      </c>
      <c r="D10" s="73"/>
      <c r="E10" s="73"/>
      <c r="F10" s="74"/>
      <c r="G10" s="75"/>
      <c r="H10" s="68">
        <v>1</v>
      </c>
      <c r="I10" s="69">
        <v>0.13</v>
      </c>
      <c r="J10" s="70">
        <v>60</v>
      </c>
      <c r="K10" s="71">
        <f t="shared" si="0"/>
        <v>60</v>
      </c>
      <c r="L10" s="71" t="s">
        <v>29</v>
      </c>
      <c r="M10" s="72" t="s">
        <v>30</v>
      </c>
    </row>
    <row r="11" ht="24" spans="1:13">
      <c r="A11" s="62"/>
      <c r="B11" s="63" t="s">
        <v>23</v>
      </c>
      <c r="C11" s="64" t="s">
        <v>34</v>
      </c>
      <c r="D11" s="76"/>
      <c r="E11" s="76"/>
      <c r="F11" s="77"/>
      <c r="G11" s="78"/>
      <c r="H11" s="68">
        <v>1</v>
      </c>
      <c r="I11" s="69">
        <v>0.13</v>
      </c>
      <c r="J11" s="70">
        <v>70</v>
      </c>
      <c r="K11" s="71">
        <f t="shared" si="0"/>
        <v>70</v>
      </c>
      <c r="L11" s="71" t="s">
        <v>29</v>
      </c>
      <c r="M11" s="72" t="s">
        <v>30</v>
      </c>
    </row>
    <row r="12" ht="24" spans="1:13">
      <c r="A12" s="62">
        <v>3</v>
      </c>
      <c r="B12" s="63" t="s">
        <v>37</v>
      </c>
      <c r="C12" s="64" t="s">
        <v>38</v>
      </c>
      <c r="D12" s="65">
        <v>25</v>
      </c>
      <c r="E12" s="65">
        <v>15</v>
      </c>
      <c r="F12" s="66">
        <v>2840</v>
      </c>
      <c r="G12" s="67">
        <v>2.2</v>
      </c>
      <c r="H12" s="68">
        <v>3</v>
      </c>
      <c r="I12" s="69">
        <v>0.13</v>
      </c>
      <c r="J12" s="70">
        <v>1650</v>
      </c>
      <c r="K12" s="71">
        <f t="shared" si="0"/>
        <v>4950</v>
      </c>
      <c r="L12" s="71" t="s">
        <v>29</v>
      </c>
      <c r="M12" s="72" t="s">
        <v>30</v>
      </c>
    </row>
    <row r="13" ht="24" spans="1:13">
      <c r="A13" s="62"/>
      <c r="B13" s="63" t="s">
        <v>15</v>
      </c>
      <c r="C13" s="64" t="s">
        <v>31</v>
      </c>
      <c r="D13" s="73"/>
      <c r="E13" s="73"/>
      <c r="F13" s="74"/>
      <c r="G13" s="75"/>
      <c r="H13" s="68">
        <v>3</v>
      </c>
      <c r="I13" s="69">
        <v>0.13</v>
      </c>
      <c r="J13" s="70">
        <v>400</v>
      </c>
      <c r="K13" s="71">
        <f t="shared" si="0"/>
        <v>1200</v>
      </c>
      <c r="L13" s="71" t="s">
        <v>29</v>
      </c>
      <c r="M13" s="72" t="s">
        <v>30</v>
      </c>
    </row>
    <row r="14" ht="24" spans="1:13">
      <c r="A14" s="62"/>
      <c r="B14" s="63" t="s">
        <v>17</v>
      </c>
      <c r="C14" s="64" t="s">
        <v>32</v>
      </c>
      <c r="D14" s="73"/>
      <c r="E14" s="73"/>
      <c r="F14" s="74"/>
      <c r="G14" s="75"/>
      <c r="H14" s="68">
        <v>3</v>
      </c>
      <c r="I14" s="69">
        <v>0.13</v>
      </c>
      <c r="J14" s="70">
        <v>190</v>
      </c>
      <c r="K14" s="71">
        <f t="shared" si="0"/>
        <v>570</v>
      </c>
      <c r="L14" s="71" t="s">
        <v>29</v>
      </c>
      <c r="M14" s="72" t="s">
        <v>30</v>
      </c>
    </row>
    <row r="15" ht="24" spans="1:13">
      <c r="A15" s="62"/>
      <c r="B15" s="63" t="s">
        <v>19</v>
      </c>
      <c r="C15" s="64" t="s">
        <v>33</v>
      </c>
      <c r="D15" s="73"/>
      <c r="E15" s="73"/>
      <c r="F15" s="74"/>
      <c r="G15" s="75"/>
      <c r="H15" s="68">
        <v>3</v>
      </c>
      <c r="I15" s="69">
        <v>0.13</v>
      </c>
      <c r="J15" s="70">
        <v>60</v>
      </c>
      <c r="K15" s="71">
        <f t="shared" si="0"/>
        <v>180</v>
      </c>
      <c r="L15" s="71" t="s">
        <v>29</v>
      </c>
      <c r="M15" s="72" t="s">
        <v>30</v>
      </c>
    </row>
    <row r="16" ht="24" spans="1:13">
      <c r="A16" s="62"/>
      <c r="B16" s="63" t="s">
        <v>23</v>
      </c>
      <c r="C16" s="64" t="s">
        <v>34</v>
      </c>
      <c r="D16" s="76"/>
      <c r="E16" s="76"/>
      <c r="F16" s="77"/>
      <c r="G16" s="78"/>
      <c r="H16" s="68">
        <v>3</v>
      </c>
      <c r="I16" s="69">
        <v>0.13</v>
      </c>
      <c r="J16" s="70">
        <v>70</v>
      </c>
      <c r="K16" s="71">
        <f t="shared" si="0"/>
        <v>210</v>
      </c>
      <c r="L16" s="71" t="s">
        <v>29</v>
      </c>
      <c r="M16" s="72" t="s">
        <v>30</v>
      </c>
    </row>
    <row r="17" ht="28.5" spans="1:13">
      <c r="A17" s="62">
        <v>4</v>
      </c>
      <c r="B17" s="63" t="s">
        <v>39</v>
      </c>
      <c r="C17" s="64" t="s">
        <v>28</v>
      </c>
      <c r="D17" s="65">
        <v>20</v>
      </c>
      <c r="E17" s="65">
        <v>18</v>
      </c>
      <c r="F17" s="66">
        <v>2840</v>
      </c>
      <c r="G17" s="67">
        <v>2.2</v>
      </c>
      <c r="H17" s="68">
        <v>2</v>
      </c>
      <c r="I17" s="69">
        <v>0.13</v>
      </c>
      <c r="J17" s="70">
        <v>1650</v>
      </c>
      <c r="K17" s="71">
        <f t="shared" si="0"/>
        <v>3300</v>
      </c>
      <c r="L17" s="71" t="s">
        <v>29</v>
      </c>
      <c r="M17" s="72" t="s">
        <v>30</v>
      </c>
    </row>
    <row r="18" ht="24" spans="1:13">
      <c r="A18" s="62"/>
      <c r="B18" s="63" t="s">
        <v>15</v>
      </c>
      <c r="C18" s="64" t="s">
        <v>31</v>
      </c>
      <c r="D18" s="73"/>
      <c r="E18" s="73"/>
      <c r="F18" s="74"/>
      <c r="G18" s="75"/>
      <c r="H18" s="68">
        <v>2</v>
      </c>
      <c r="I18" s="69">
        <v>0.13</v>
      </c>
      <c r="J18" s="70">
        <v>400</v>
      </c>
      <c r="K18" s="71">
        <f t="shared" si="0"/>
        <v>800</v>
      </c>
      <c r="L18" s="71" t="s">
        <v>29</v>
      </c>
      <c r="M18" s="72" t="s">
        <v>30</v>
      </c>
    </row>
    <row r="19" ht="24" spans="1:13">
      <c r="A19" s="62"/>
      <c r="B19" s="63" t="s">
        <v>17</v>
      </c>
      <c r="C19" s="64" t="s">
        <v>32</v>
      </c>
      <c r="D19" s="73"/>
      <c r="E19" s="73"/>
      <c r="F19" s="74"/>
      <c r="G19" s="75"/>
      <c r="H19" s="68">
        <v>2</v>
      </c>
      <c r="I19" s="69">
        <v>0.13</v>
      </c>
      <c r="J19" s="70">
        <v>190</v>
      </c>
      <c r="K19" s="71">
        <f t="shared" si="0"/>
        <v>380</v>
      </c>
      <c r="L19" s="71" t="s">
        <v>29</v>
      </c>
      <c r="M19" s="72" t="s">
        <v>30</v>
      </c>
    </row>
    <row r="20" ht="24" spans="1:13">
      <c r="A20" s="62"/>
      <c r="B20" s="63" t="s">
        <v>19</v>
      </c>
      <c r="C20" s="64" t="s">
        <v>33</v>
      </c>
      <c r="D20" s="73"/>
      <c r="E20" s="73"/>
      <c r="F20" s="74"/>
      <c r="G20" s="75"/>
      <c r="H20" s="68">
        <v>2</v>
      </c>
      <c r="I20" s="69">
        <v>0.13</v>
      </c>
      <c r="J20" s="70">
        <v>60</v>
      </c>
      <c r="K20" s="71">
        <f t="shared" si="0"/>
        <v>120</v>
      </c>
      <c r="L20" s="71" t="s">
        <v>29</v>
      </c>
      <c r="M20" s="72" t="s">
        <v>30</v>
      </c>
    </row>
    <row r="21" ht="24" spans="1:13">
      <c r="A21" s="62"/>
      <c r="B21" s="63" t="s">
        <v>23</v>
      </c>
      <c r="C21" s="64" t="s">
        <v>34</v>
      </c>
      <c r="D21" s="76"/>
      <c r="E21" s="76"/>
      <c r="F21" s="77"/>
      <c r="G21" s="78"/>
      <c r="H21" s="68">
        <v>2</v>
      </c>
      <c r="I21" s="69">
        <v>0.13</v>
      </c>
      <c r="J21" s="70">
        <v>70</v>
      </c>
      <c r="K21" s="71">
        <f t="shared" si="0"/>
        <v>140</v>
      </c>
      <c r="L21" s="71" t="s">
        <v>29</v>
      </c>
      <c r="M21" s="72" t="s">
        <v>30</v>
      </c>
    </row>
    <row r="22" ht="24" spans="1:13">
      <c r="A22" s="62">
        <v>5</v>
      </c>
      <c r="B22" s="64" t="s">
        <v>40</v>
      </c>
      <c r="C22" s="64" t="s">
        <v>38</v>
      </c>
      <c r="D22" s="66">
        <v>25</v>
      </c>
      <c r="E22" s="66">
        <v>15</v>
      </c>
      <c r="F22" s="66">
        <v>2840</v>
      </c>
      <c r="G22" s="67">
        <v>2.2</v>
      </c>
      <c r="H22" s="68">
        <v>3</v>
      </c>
      <c r="I22" s="69">
        <v>0.13</v>
      </c>
      <c r="J22" s="70">
        <v>1650</v>
      </c>
      <c r="K22" s="71">
        <f t="shared" si="0"/>
        <v>4950</v>
      </c>
      <c r="L22" s="71" t="s">
        <v>29</v>
      </c>
      <c r="M22" s="72" t="s">
        <v>30</v>
      </c>
    </row>
    <row r="23" ht="24" spans="1:13">
      <c r="A23" s="62"/>
      <c r="B23" s="63" t="s">
        <v>15</v>
      </c>
      <c r="C23" s="64" t="s">
        <v>31</v>
      </c>
      <c r="D23" s="74"/>
      <c r="E23" s="74"/>
      <c r="F23" s="74"/>
      <c r="G23" s="75"/>
      <c r="H23" s="62">
        <v>3</v>
      </c>
      <c r="I23" s="69">
        <v>0.13</v>
      </c>
      <c r="J23" s="70">
        <v>400</v>
      </c>
      <c r="K23" s="71">
        <f t="shared" si="0"/>
        <v>1200</v>
      </c>
      <c r="L23" s="71" t="s">
        <v>29</v>
      </c>
      <c r="M23" s="72" t="s">
        <v>30</v>
      </c>
    </row>
    <row r="24" ht="24" spans="1:13">
      <c r="A24" s="62"/>
      <c r="B24" s="63" t="s">
        <v>17</v>
      </c>
      <c r="C24" s="64" t="s">
        <v>32</v>
      </c>
      <c r="D24" s="74"/>
      <c r="E24" s="74"/>
      <c r="F24" s="74"/>
      <c r="G24" s="75"/>
      <c r="H24" s="62">
        <v>3</v>
      </c>
      <c r="I24" s="69">
        <v>0.13</v>
      </c>
      <c r="J24" s="70">
        <v>190</v>
      </c>
      <c r="K24" s="71">
        <f t="shared" si="0"/>
        <v>570</v>
      </c>
      <c r="L24" s="71" t="s">
        <v>29</v>
      </c>
      <c r="M24" s="72" t="s">
        <v>30</v>
      </c>
    </row>
    <row r="25" ht="24" spans="1:13">
      <c r="A25" s="62"/>
      <c r="B25" s="63" t="s">
        <v>19</v>
      </c>
      <c r="C25" s="64" t="s">
        <v>33</v>
      </c>
      <c r="D25" s="74"/>
      <c r="E25" s="74"/>
      <c r="F25" s="74"/>
      <c r="G25" s="75"/>
      <c r="H25" s="62">
        <v>3</v>
      </c>
      <c r="I25" s="69">
        <v>0.13</v>
      </c>
      <c r="J25" s="70">
        <v>60</v>
      </c>
      <c r="K25" s="71">
        <f t="shared" si="0"/>
        <v>180</v>
      </c>
      <c r="L25" s="71" t="s">
        <v>29</v>
      </c>
      <c r="M25" s="72" t="s">
        <v>30</v>
      </c>
    </row>
    <row r="26" ht="24" spans="1:13">
      <c r="A26" s="62"/>
      <c r="B26" s="63" t="s">
        <v>23</v>
      </c>
      <c r="C26" s="64" t="s">
        <v>34</v>
      </c>
      <c r="D26" s="77"/>
      <c r="E26" s="77"/>
      <c r="F26" s="77"/>
      <c r="G26" s="78"/>
      <c r="H26" s="62">
        <v>3</v>
      </c>
      <c r="I26" s="69">
        <v>0.13</v>
      </c>
      <c r="J26" s="70">
        <v>70</v>
      </c>
      <c r="K26" s="71">
        <f t="shared" si="0"/>
        <v>210</v>
      </c>
      <c r="L26" s="71" t="s">
        <v>29</v>
      </c>
      <c r="M26" s="72" t="s">
        <v>30</v>
      </c>
    </row>
    <row r="27" ht="28.5" spans="1:13">
      <c r="A27" s="62">
        <v>6</v>
      </c>
      <c r="B27" s="64" t="s">
        <v>41</v>
      </c>
      <c r="C27" s="64" t="s">
        <v>36</v>
      </c>
      <c r="D27" s="66">
        <v>10</v>
      </c>
      <c r="E27" s="66">
        <v>18</v>
      </c>
      <c r="F27" s="66">
        <v>2840</v>
      </c>
      <c r="G27" s="67">
        <v>1.5</v>
      </c>
      <c r="H27" s="62">
        <v>2</v>
      </c>
      <c r="I27" s="69">
        <v>0.13</v>
      </c>
      <c r="J27" s="70">
        <v>1520</v>
      </c>
      <c r="K27" s="71">
        <f t="shared" si="0"/>
        <v>3040</v>
      </c>
      <c r="L27" s="71" t="s">
        <v>29</v>
      </c>
      <c r="M27" s="72" t="s">
        <v>30</v>
      </c>
    </row>
    <row r="28" ht="24" spans="1:13">
      <c r="A28" s="62"/>
      <c r="B28" s="63" t="s">
        <v>15</v>
      </c>
      <c r="C28" s="64" t="s">
        <v>31</v>
      </c>
      <c r="D28" s="74"/>
      <c r="E28" s="74"/>
      <c r="F28" s="74"/>
      <c r="G28" s="75"/>
      <c r="H28" s="62">
        <v>2</v>
      </c>
      <c r="I28" s="69">
        <v>0.13</v>
      </c>
      <c r="J28" s="70">
        <v>400</v>
      </c>
      <c r="K28" s="71">
        <f t="shared" si="0"/>
        <v>800</v>
      </c>
      <c r="L28" s="71" t="s">
        <v>29</v>
      </c>
      <c r="M28" s="72" t="s">
        <v>30</v>
      </c>
    </row>
    <row r="29" ht="24" spans="1:13">
      <c r="A29" s="62"/>
      <c r="B29" s="63" t="s">
        <v>17</v>
      </c>
      <c r="C29" s="64" t="s">
        <v>32</v>
      </c>
      <c r="D29" s="74"/>
      <c r="E29" s="74"/>
      <c r="F29" s="74"/>
      <c r="G29" s="75"/>
      <c r="H29" s="68">
        <v>2</v>
      </c>
      <c r="I29" s="69">
        <v>0.13</v>
      </c>
      <c r="J29" s="70">
        <v>190</v>
      </c>
      <c r="K29" s="71">
        <f t="shared" si="0"/>
        <v>380</v>
      </c>
      <c r="L29" s="71" t="s">
        <v>29</v>
      </c>
      <c r="M29" s="72" t="s">
        <v>30</v>
      </c>
    </row>
    <row r="30" ht="24" spans="1:13">
      <c r="A30" s="62"/>
      <c r="B30" s="63" t="s">
        <v>19</v>
      </c>
      <c r="C30" s="64" t="s">
        <v>33</v>
      </c>
      <c r="D30" s="74"/>
      <c r="E30" s="74"/>
      <c r="F30" s="74"/>
      <c r="G30" s="75"/>
      <c r="H30" s="68">
        <v>2</v>
      </c>
      <c r="I30" s="69">
        <v>0.13</v>
      </c>
      <c r="J30" s="70">
        <v>60</v>
      </c>
      <c r="K30" s="71">
        <f t="shared" si="0"/>
        <v>120</v>
      </c>
      <c r="L30" s="71" t="s">
        <v>29</v>
      </c>
      <c r="M30" s="72" t="s">
        <v>30</v>
      </c>
    </row>
    <row r="31" ht="24" spans="1:13">
      <c r="A31" s="62"/>
      <c r="B31" s="63" t="s">
        <v>23</v>
      </c>
      <c r="C31" s="64" t="s">
        <v>34</v>
      </c>
      <c r="D31" s="77"/>
      <c r="E31" s="77"/>
      <c r="F31" s="77"/>
      <c r="G31" s="78"/>
      <c r="H31" s="68">
        <v>2</v>
      </c>
      <c r="I31" s="69">
        <v>0.13</v>
      </c>
      <c r="J31" s="70">
        <v>70</v>
      </c>
      <c r="K31" s="71">
        <f t="shared" si="0"/>
        <v>140</v>
      </c>
      <c r="L31" s="71" t="s">
        <v>29</v>
      </c>
      <c r="M31" s="72" t="s">
        <v>30</v>
      </c>
    </row>
    <row r="32" ht="24" spans="1:13">
      <c r="A32" s="62">
        <v>7</v>
      </c>
      <c r="B32" s="64" t="s">
        <v>42</v>
      </c>
      <c r="C32" s="64" t="s">
        <v>43</v>
      </c>
      <c r="D32" s="66">
        <v>65</v>
      </c>
      <c r="E32" s="66">
        <v>15</v>
      </c>
      <c r="F32" s="66">
        <v>2840</v>
      </c>
      <c r="G32" s="67">
        <v>4</v>
      </c>
      <c r="H32" s="68">
        <v>3</v>
      </c>
      <c r="I32" s="69">
        <v>0.13</v>
      </c>
      <c r="J32" s="70">
        <v>2420</v>
      </c>
      <c r="K32" s="71">
        <f t="shared" si="0"/>
        <v>7260</v>
      </c>
      <c r="L32" s="71" t="s">
        <v>29</v>
      </c>
      <c r="M32" s="72" t="s">
        <v>30</v>
      </c>
    </row>
    <row r="33" ht="24" spans="1:13">
      <c r="A33" s="62"/>
      <c r="B33" s="63" t="s">
        <v>15</v>
      </c>
      <c r="C33" s="64" t="s">
        <v>44</v>
      </c>
      <c r="D33" s="74"/>
      <c r="E33" s="74"/>
      <c r="F33" s="74"/>
      <c r="G33" s="75"/>
      <c r="H33" s="68">
        <v>3</v>
      </c>
      <c r="I33" s="69">
        <v>0.13</v>
      </c>
      <c r="J33" s="70">
        <v>620</v>
      </c>
      <c r="K33" s="71">
        <f t="shared" si="0"/>
        <v>1860</v>
      </c>
      <c r="L33" s="71" t="s">
        <v>29</v>
      </c>
      <c r="M33" s="72" t="s">
        <v>30</v>
      </c>
    </row>
    <row r="34" ht="24" spans="1:13">
      <c r="A34" s="62"/>
      <c r="B34" s="63" t="s">
        <v>17</v>
      </c>
      <c r="C34" s="64" t="s">
        <v>32</v>
      </c>
      <c r="D34" s="74"/>
      <c r="E34" s="74"/>
      <c r="F34" s="74"/>
      <c r="G34" s="75"/>
      <c r="H34" s="68">
        <v>3</v>
      </c>
      <c r="I34" s="69">
        <v>0.13</v>
      </c>
      <c r="J34" s="70">
        <v>190</v>
      </c>
      <c r="K34" s="71">
        <f t="shared" si="0"/>
        <v>570</v>
      </c>
      <c r="L34" s="71" t="s">
        <v>29</v>
      </c>
      <c r="M34" s="72" t="s">
        <v>30</v>
      </c>
    </row>
    <row r="35" ht="24" spans="1:13">
      <c r="A35" s="62"/>
      <c r="B35" s="63" t="s">
        <v>19</v>
      </c>
      <c r="C35" s="64" t="s">
        <v>33</v>
      </c>
      <c r="D35" s="74"/>
      <c r="E35" s="74"/>
      <c r="F35" s="74"/>
      <c r="G35" s="75"/>
      <c r="H35" s="68">
        <v>3</v>
      </c>
      <c r="I35" s="69">
        <v>0.13</v>
      </c>
      <c r="J35" s="70">
        <v>60</v>
      </c>
      <c r="K35" s="71">
        <f t="shared" si="0"/>
        <v>180</v>
      </c>
      <c r="L35" s="71" t="s">
        <v>29</v>
      </c>
      <c r="M35" s="72" t="s">
        <v>30</v>
      </c>
    </row>
    <row r="36" ht="24" spans="1:13">
      <c r="A36" s="62"/>
      <c r="B36" s="63" t="s">
        <v>23</v>
      </c>
      <c r="C36" s="64" t="s">
        <v>34</v>
      </c>
      <c r="D36" s="77"/>
      <c r="E36" s="77"/>
      <c r="F36" s="77"/>
      <c r="G36" s="78"/>
      <c r="H36" s="68">
        <v>3</v>
      </c>
      <c r="I36" s="69">
        <v>0.13</v>
      </c>
      <c r="J36" s="70">
        <v>70</v>
      </c>
      <c r="K36" s="71">
        <f t="shared" si="0"/>
        <v>210</v>
      </c>
      <c r="L36" s="71" t="s">
        <v>29</v>
      </c>
      <c r="M36" s="72" t="s">
        <v>30</v>
      </c>
    </row>
    <row r="37" ht="28.5" spans="1:13">
      <c r="A37" s="62">
        <v>8</v>
      </c>
      <c r="B37" s="64" t="s">
        <v>45</v>
      </c>
      <c r="C37" s="64" t="s">
        <v>36</v>
      </c>
      <c r="D37" s="66">
        <v>10</v>
      </c>
      <c r="E37" s="66">
        <v>18</v>
      </c>
      <c r="F37" s="66">
        <v>2840</v>
      </c>
      <c r="G37" s="67">
        <v>1.5</v>
      </c>
      <c r="H37" s="68">
        <v>2</v>
      </c>
      <c r="I37" s="69">
        <v>0.13</v>
      </c>
      <c r="J37" s="70">
        <v>1520</v>
      </c>
      <c r="K37" s="71">
        <f t="shared" si="0"/>
        <v>3040</v>
      </c>
      <c r="L37" s="71" t="s">
        <v>29</v>
      </c>
      <c r="M37" s="72" t="s">
        <v>30</v>
      </c>
    </row>
    <row r="38" ht="24" spans="1:13">
      <c r="A38" s="62"/>
      <c r="B38" s="63" t="s">
        <v>15</v>
      </c>
      <c r="C38" s="64" t="s">
        <v>31</v>
      </c>
      <c r="D38" s="74"/>
      <c r="E38" s="74"/>
      <c r="F38" s="74"/>
      <c r="G38" s="75"/>
      <c r="H38" s="62">
        <v>2</v>
      </c>
      <c r="I38" s="69">
        <v>0.13</v>
      </c>
      <c r="J38" s="70">
        <v>400</v>
      </c>
      <c r="K38" s="71">
        <f t="shared" si="0"/>
        <v>800</v>
      </c>
      <c r="L38" s="71" t="s">
        <v>29</v>
      </c>
      <c r="M38" s="72" t="s">
        <v>30</v>
      </c>
    </row>
    <row r="39" ht="24" spans="1:13">
      <c r="A39" s="62"/>
      <c r="B39" s="63" t="s">
        <v>17</v>
      </c>
      <c r="C39" s="64" t="s">
        <v>32</v>
      </c>
      <c r="D39" s="74"/>
      <c r="E39" s="74"/>
      <c r="F39" s="74"/>
      <c r="G39" s="75"/>
      <c r="H39" s="68">
        <v>2</v>
      </c>
      <c r="I39" s="69">
        <v>0.13</v>
      </c>
      <c r="J39" s="70">
        <v>190</v>
      </c>
      <c r="K39" s="71">
        <f t="shared" si="0"/>
        <v>380</v>
      </c>
      <c r="L39" s="71" t="s">
        <v>29</v>
      </c>
      <c r="M39" s="72" t="s">
        <v>30</v>
      </c>
    </row>
    <row r="40" ht="24" spans="1:13">
      <c r="A40" s="62"/>
      <c r="B40" s="63" t="s">
        <v>19</v>
      </c>
      <c r="C40" s="64" t="s">
        <v>33</v>
      </c>
      <c r="D40" s="74"/>
      <c r="E40" s="74"/>
      <c r="F40" s="74"/>
      <c r="G40" s="75"/>
      <c r="H40" s="68">
        <v>2</v>
      </c>
      <c r="I40" s="69">
        <v>0.13</v>
      </c>
      <c r="J40" s="70">
        <v>60</v>
      </c>
      <c r="K40" s="71">
        <f t="shared" si="0"/>
        <v>120</v>
      </c>
      <c r="L40" s="71" t="s">
        <v>29</v>
      </c>
      <c r="M40" s="72" t="s">
        <v>30</v>
      </c>
    </row>
    <row r="41" ht="24" spans="1:13">
      <c r="A41" s="62"/>
      <c r="B41" s="63" t="s">
        <v>23</v>
      </c>
      <c r="C41" s="64" t="s">
        <v>34</v>
      </c>
      <c r="D41" s="77"/>
      <c r="E41" s="77"/>
      <c r="F41" s="77"/>
      <c r="G41" s="78"/>
      <c r="H41" s="68">
        <v>2</v>
      </c>
      <c r="I41" s="69">
        <v>0.13</v>
      </c>
      <c r="J41" s="70">
        <v>70</v>
      </c>
      <c r="K41" s="71">
        <f t="shared" si="0"/>
        <v>140</v>
      </c>
      <c r="L41" s="71" t="s">
        <v>29</v>
      </c>
      <c r="M41" s="72" t="s">
        <v>30</v>
      </c>
    </row>
    <row r="42" ht="24" spans="1:13">
      <c r="A42" s="62">
        <v>9</v>
      </c>
      <c r="B42" s="64" t="s">
        <v>46</v>
      </c>
      <c r="C42" s="64" t="s">
        <v>36</v>
      </c>
      <c r="D42" s="66">
        <v>10</v>
      </c>
      <c r="E42" s="66">
        <v>18</v>
      </c>
      <c r="F42" s="66">
        <v>2840</v>
      </c>
      <c r="G42" s="67">
        <v>1.5</v>
      </c>
      <c r="H42" s="68">
        <v>1</v>
      </c>
      <c r="I42" s="69">
        <v>0.13</v>
      </c>
      <c r="J42" s="70">
        <v>1520</v>
      </c>
      <c r="K42" s="71">
        <f t="shared" si="0"/>
        <v>1520</v>
      </c>
      <c r="L42" s="71" t="s">
        <v>29</v>
      </c>
      <c r="M42" s="72" t="s">
        <v>30</v>
      </c>
    </row>
    <row r="43" ht="24" spans="1:13">
      <c r="A43" s="62"/>
      <c r="B43" s="63" t="s">
        <v>15</v>
      </c>
      <c r="C43" s="64" t="s">
        <v>31</v>
      </c>
      <c r="D43" s="74"/>
      <c r="E43" s="74"/>
      <c r="F43" s="74"/>
      <c r="G43" s="75"/>
      <c r="H43" s="62">
        <v>1</v>
      </c>
      <c r="I43" s="69">
        <v>0.13</v>
      </c>
      <c r="J43" s="70">
        <v>400</v>
      </c>
      <c r="K43" s="71">
        <f t="shared" si="0"/>
        <v>400</v>
      </c>
      <c r="L43" s="71" t="s">
        <v>29</v>
      </c>
      <c r="M43" s="72" t="s">
        <v>30</v>
      </c>
    </row>
    <row r="44" ht="24" spans="1:13">
      <c r="A44" s="62"/>
      <c r="B44" s="63" t="s">
        <v>17</v>
      </c>
      <c r="C44" s="64" t="s">
        <v>32</v>
      </c>
      <c r="D44" s="74"/>
      <c r="E44" s="74"/>
      <c r="F44" s="74"/>
      <c r="G44" s="75"/>
      <c r="H44" s="68">
        <v>1</v>
      </c>
      <c r="I44" s="69">
        <v>0.13</v>
      </c>
      <c r="J44" s="70">
        <v>190</v>
      </c>
      <c r="K44" s="71">
        <f t="shared" si="0"/>
        <v>190</v>
      </c>
      <c r="L44" s="71" t="s">
        <v>29</v>
      </c>
      <c r="M44" s="72" t="s">
        <v>30</v>
      </c>
    </row>
    <row r="45" ht="24" spans="1:13">
      <c r="A45" s="62"/>
      <c r="B45" s="63" t="s">
        <v>19</v>
      </c>
      <c r="C45" s="64" t="s">
        <v>33</v>
      </c>
      <c r="D45" s="74"/>
      <c r="E45" s="74"/>
      <c r="F45" s="74"/>
      <c r="G45" s="75"/>
      <c r="H45" s="68">
        <v>1</v>
      </c>
      <c r="I45" s="69">
        <v>0.13</v>
      </c>
      <c r="J45" s="70">
        <v>60</v>
      </c>
      <c r="K45" s="71">
        <f t="shared" si="0"/>
        <v>60</v>
      </c>
      <c r="L45" s="71" t="s">
        <v>29</v>
      </c>
      <c r="M45" s="72" t="s">
        <v>30</v>
      </c>
    </row>
    <row r="46" ht="24" spans="1:13">
      <c r="A46" s="62"/>
      <c r="B46" s="63" t="s">
        <v>23</v>
      </c>
      <c r="C46" s="64" t="s">
        <v>34</v>
      </c>
      <c r="D46" s="77"/>
      <c r="E46" s="77"/>
      <c r="F46" s="77"/>
      <c r="G46" s="78"/>
      <c r="H46" s="68">
        <v>1</v>
      </c>
      <c r="I46" s="69">
        <v>0.13</v>
      </c>
      <c r="J46" s="70">
        <v>70</v>
      </c>
      <c r="K46" s="71">
        <f t="shared" si="0"/>
        <v>70</v>
      </c>
      <c r="L46" s="71" t="s">
        <v>29</v>
      </c>
      <c r="M46" s="72" t="s">
        <v>30</v>
      </c>
    </row>
    <row r="47" ht="28.5" spans="1:13">
      <c r="A47" s="62">
        <v>10</v>
      </c>
      <c r="B47" s="64" t="s">
        <v>47</v>
      </c>
      <c r="C47" s="64" t="s">
        <v>28</v>
      </c>
      <c r="D47" s="66">
        <v>20</v>
      </c>
      <c r="E47" s="66">
        <v>20</v>
      </c>
      <c r="F47" s="66">
        <v>2840</v>
      </c>
      <c r="G47" s="67">
        <v>2.2</v>
      </c>
      <c r="H47" s="62">
        <v>2</v>
      </c>
      <c r="I47" s="69">
        <v>0.13</v>
      </c>
      <c r="J47" s="70">
        <v>1650</v>
      </c>
      <c r="K47" s="71">
        <f t="shared" si="0"/>
        <v>3300</v>
      </c>
      <c r="L47" s="71" t="s">
        <v>29</v>
      </c>
      <c r="M47" s="72" t="s">
        <v>30</v>
      </c>
    </row>
    <row r="48" ht="24" spans="1:13">
      <c r="A48" s="62"/>
      <c r="B48" s="63" t="s">
        <v>15</v>
      </c>
      <c r="C48" s="64" t="s">
        <v>31</v>
      </c>
      <c r="D48" s="74"/>
      <c r="E48" s="74"/>
      <c r="F48" s="74"/>
      <c r="G48" s="75"/>
      <c r="H48" s="62">
        <v>2</v>
      </c>
      <c r="I48" s="69">
        <v>0.13</v>
      </c>
      <c r="J48" s="70">
        <v>400</v>
      </c>
      <c r="K48" s="71">
        <f t="shared" si="0"/>
        <v>800</v>
      </c>
      <c r="L48" s="71" t="s">
        <v>29</v>
      </c>
      <c r="M48" s="72" t="s">
        <v>30</v>
      </c>
    </row>
    <row r="49" ht="24" spans="1:13">
      <c r="A49" s="62"/>
      <c r="B49" s="63" t="s">
        <v>17</v>
      </c>
      <c r="C49" s="64" t="s">
        <v>32</v>
      </c>
      <c r="D49" s="74"/>
      <c r="E49" s="74"/>
      <c r="F49" s="74"/>
      <c r="G49" s="75"/>
      <c r="H49" s="68">
        <v>2</v>
      </c>
      <c r="I49" s="69">
        <v>0.13</v>
      </c>
      <c r="J49" s="70">
        <v>300</v>
      </c>
      <c r="K49" s="71">
        <f t="shared" si="0"/>
        <v>600</v>
      </c>
      <c r="L49" s="71" t="s">
        <v>29</v>
      </c>
      <c r="M49" s="72" t="s">
        <v>30</v>
      </c>
    </row>
    <row r="50" ht="24" spans="1:13">
      <c r="A50" s="62"/>
      <c r="B50" s="63" t="s">
        <v>19</v>
      </c>
      <c r="C50" s="64" t="s">
        <v>33</v>
      </c>
      <c r="D50" s="74"/>
      <c r="E50" s="74"/>
      <c r="F50" s="74"/>
      <c r="G50" s="75"/>
      <c r="H50" s="68">
        <v>2</v>
      </c>
      <c r="I50" s="69">
        <v>0.13</v>
      </c>
      <c r="J50" s="70">
        <v>105</v>
      </c>
      <c r="K50" s="71">
        <f t="shared" si="0"/>
        <v>210</v>
      </c>
      <c r="L50" s="71" t="s">
        <v>29</v>
      </c>
      <c r="M50" s="72" t="s">
        <v>30</v>
      </c>
    </row>
    <row r="51" ht="24" spans="1:13">
      <c r="A51" s="62"/>
      <c r="B51" s="63" t="s">
        <v>23</v>
      </c>
      <c r="C51" s="64" t="s">
        <v>34</v>
      </c>
      <c r="D51" s="77"/>
      <c r="E51" s="77"/>
      <c r="F51" s="77"/>
      <c r="G51" s="78"/>
      <c r="H51" s="68">
        <v>2</v>
      </c>
      <c r="I51" s="69">
        <v>0.13</v>
      </c>
      <c r="J51" s="70">
        <v>70</v>
      </c>
      <c r="K51" s="71">
        <f t="shared" si="0"/>
        <v>140</v>
      </c>
      <c r="L51" s="71" t="s">
        <v>29</v>
      </c>
      <c r="M51" s="72" t="s">
        <v>30</v>
      </c>
    </row>
    <row r="52" ht="28.5" spans="1:13">
      <c r="A52" s="62">
        <v>11</v>
      </c>
      <c r="B52" s="64" t="s">
        <v>48</v>
      </c>
      <c r="C52" s="64" t="s">
        <v>38</v>
      </c>
      <c r="D52" s="66">
        <v>25</v>
      </c>
      <c r="E52" s="66">
        <v>15</v>
      </c>
      <c r="F52" s="66">
        <v>2840</v>
      </c>
      <c r="G52" s="67">
        <v>2.2</v>
      </c>
      <c r="H52" s="68">
        <v>3</v>
      </c>
      <c r="I52" s="69">
        <v>0.13</v>
      </c>
      <c r="J52" s="70">
        <v>1650</v>
      </c>
      <c r="K52" s="71">
        <f t="shared" si="0"/>
        <v>4950</v>
      </c>
      <c r="L52" s="71" t="s">
        <v>29</v>
      </c>
      <c r="M52" s="72" t="s">
        <v>30</v>
      </c>
    </row>
    <row r="53" ht="24" spans="1:13">
      <c r="A53" s="62"/>
      <c r="B53" s="63" t="s">
        <v>15</v>
      </c>
      <c r="C53" s="64" t="s">
        <v>31</v>
      </c>
      <c r="D53" s="74"/>
      <c r="E53" s="74"/>
      <c r="F53" s="74"/>
      <c r="G53" s="75"/>
      <c r="H53" s="62">
        <v>3</v>
      </c>
      <c r="I53" s="69">
        <v>0.13</v>
      </c>
      <c r="J53" s="70">
        <v>400</v>
      </c>
      <c r="K53" s="71">
        <f t="shared" si="0"/>
        <v>1200</v>
      </c>
      <c r="L53" s="71" t="s">
        <v>29</v>
      </c>
      <c r="M53" s="72" t="s">
        <v>30</v>
      </c>
    </row>
    <row r="54" ht="24" spans="1:13">
      <c r="A54" s="62"/>
      <c r="B54" s="63" t="s">
        <v>17</v>
      </c>
      <c r="C54" s="64" t="s">
        <v>32</v>
      </c>
      <c r="D54" s="74"/>
      <c r="E54" s="74"/>
      <c r="F54" s="74"/>
      <c r="G54" s="75"/>
      <c r="H54" s="68">
        <v>3</v>
      </c>
      <c r="I54" s="69">
        <v>0.13</v>
      </c>
      <c r="J54" s="70">
        <v>190</v>
      </c>
      <c r="K54" s="71">
        <f t="shared" si="0"/>
        <v>570</v>
      </c>
      <c r="L54" s="71" t="s">
        <v>29</v>
      </c>
      <c r="M54" s="72" t="s">
        <v>30</v>
      </c>
    </row>
    <row r="55" ht="24" spans="1:13">
      <c r="A55" s="62"/>
      <c r="B55" s="63" t="s">
        <v>19</v>
      </c>
      <c r="C55" s="64" t="s">
        <v>33</v>
      </c>
      <c r="D55" s="74"/>
      <c r="E55" s="74"/>
      <c r="F55" s="74"/>
      <c r="G55" s="75"/>
      <c r="H55" s="68">
        <v>3</v>
      </c>
      <c r="I55" s="69">
        <v>0.13</v>
      </c>
      <c r="J55" s="70">
        <v>60</v>
      </c>
      <c r="K55" s="71">
        <f t="shared" si="0"/>
        <v>180</v>
      </c>
      <c r="L55" s="71" t="s">
        <v>29</v>
      </c>
      <c r="M55" s="72" t="s">
        <v>30</v>
      </c>
    </row>
    <row r="56" ht="24" spans="1:13">
      <c r="A56" s="62"/>
      <c r="B56" s="63" t="s">
        <v>23</v>
      </c>
      <c r="C56" s="64" t="s">
        <v>34</v>
      </c>
      <c r="D56" s="77"/>
      <c r="E56" s="77"/>
      <c r="F56" s="77"/>
      <c r="G56" s="78"/>
      <c r="H56" s="68">
        <v>3</v>
      </c>
      <c r="I56" s="69">
        <v>0.13</v>
      </c>
      <c r="J56" s="70">
        <v>70</v>
      </c>
      <c r="K56" s="71">
        <f t="shared" si="0"/>
        <v>210</v>
      </c>
      <c r="L56" s="71" t="s">
        <v>29</v>
      </c>
      <c r="M56" s="72" t="s">
        <v>30</v>
      </c>
    </row>
    <row r="57" ht="24" spans="1:13">
      <c r="A57" s="62">
        <v>12</v>
      </c>
      <c r="B57" s="64" t="s">
        <v>49</v>
      </c>
      <c r="C57" s="64" t="s">
        <v>36</v>
      </c>
      <c r="D57" s="66">
        <v>10</v>
      </c>
      <c r="E57" s="66">
        <v>18</v>
      </c>
      <c r="F57" s="66">
        <v>2840</v>
      </c>
      <c r="G57" s="67">
        <v>1.5</v>
      </c>
      <c r="H57" s="68">
        <v>2</v>
      </c>
      <c r="I57" s="69">
        <v>0.13</v>
      </c>
      <c r="J57" s="70">
        <v>1520</v>
      </c>
      <c r="K57" s="71">
        <f t="shared" si="0"/>
        <v>3040</v>
      </c>
      <c r="L57" s="71" t="s">
        <v>29</v>
      </c>
      <c r="M57" s="72" t="s">
        <v>30</v>
      </c>
    </row>
    <row r="58" ht="24" spans="1:13">
      <c r="A58" s="62"/>
      <c r="B58" s="63" t="s">
        <v>15</v>
      </c>
      <c r="C58" s="64" t="s">
        <v>31</v>
      </c>
      <c r="D58" s="74"/>
      <c r="E58" s="74"/>
      <c r="F58" s="74"/>
      <c r="G58" s="75"/>
      <c r="H58" s="62">
        <v>2</v>
      </c>
      <c r="I58" s="69">
        <v>0.13</v>
      </c>
      <c r="J58" s="70">
        <v>400</v>
      </c>
      <c r="K58" s="71">
        <f t="shared" si="0"/>
        <v>800</v>
      </c>
      <c r="L58" s="71" t="s">
        <v>29</v>
      </c>
      <c r="M58" s="72" t="s">
        <v>30</v>
      </c>
    </row>
    <row r="59" ht="24" spans="1:13">
      <c r="A59" s="62"/>
      <c r="B59" s="63" t="s">
        <v>17</v>
      </c>
      <c r="C59" s="64" t="s">
        <v>32</v>
      </c>
      <c r="D59" s="74"/>
      <c r="E59" s="74"/>
      <c r="F59" s="74"/>
      <c r="G59" s="75"/>
      <c r="H59" s="68">
        <v>2</v>
      </c>
      <c r="I59" s="69">
        <v>0.13</v>
      </c>
      <c r="J59" s="70">
        <v>190</v>
      </c>
      <c r="K59" s="71">
        <f t="shared" si="0"/>
        <v>380</v>
      </c>
      <c r="L59" s="71" t="s">
        <v>29</v>
      </c>
      <c r="M59" s="72" t="s">
        <v>30</v>
      </c>
    </row>
    <row r="60" ht="24" spans="1:13">
      <c r="A60" s="62"/>
      <c r="B60" s="63" t="s">
        <v>19</v>
      </c>
      <c r="C60" s="64" t="s">
        <v>33</v>
      </c>
      <c r="D60" s="74"/>
      <c r="E60" s="74"/>
      <c r="F60" s="74"/>
      <c r="G60" s="75"/>
      <c r="H60" s="68">
        <v>2</v>
      </c>
      <c r="I60" s="69">
        <v>0.13</v>
      </c>
      <c r="J60" s="70">
        <v>60</v>
      </c>
      <c r="K60" s="71">
        <f t="shared" si="0"/>
        <v>120</v>
      </c>
      <c r="L60" s="71" t="s">
        <v>29</v>
      </c>
      <c r="M60" s="72" t="s">
        <v>30</v>
      </c>
    </row>
    <row r="61" ht="24" spans="1:13">
      <c r="A61" s="62"/>
      <c r="B61" s="63" t="s">
        <v>23</v>
      </c>
      <c r="C61" s="64" t="s">
        <v>34</v>
      </c>
      <c r="D61" s="77"/>
      <c r="E61" s="77"/>
      <c r="F61" s="77"/>
      <c r="G61" s="78"/>
      <c r="H61" s="68">
        <v>2</v>
      </c>
      <c r="I61" s="69">
        <v>0.13</v>
      </c>
      <c r="J61" s="70">
        <v>70</v>
      </c>
      <c r="K61" s="71">
        <f t="shared" si="0"/>
        <v>140</v>
      </c>
      <c r="L61" s="71" t="s">
        <v>29</v>
      </c>
      <c r="M61" s="72" t="s">
        <v>30</v>
      </c>
    </row>
    <row r="62" ht="24" spans="1:13">
      <c r="A62" s="62">
        <v>13</v>
      </c>
      <c r="B62" s="64" t="s">
        <v>50</v>
      </c>
      <c r="C62" s="64" t="s">
        <v>51</v>
      </c>
      <c r="D62" s="66">
        <v>15</v>
      </c>
      <c r="E62" s="66">
        <v>20</v>
      </c>
      <c r="F62" s="66">
        <v>2840</v>
      </c>
      <c r="G62" s="67">
        <v>2.2</v>
      </c>
      <c r="H62" s="68">
        <v>2</v>
      </c>
      <c r="I62" s="69">
        <v>0.13</v>
      </c>
      <c r="J62" s="70">
        <v>1650</v>
      </c>
      <c r="K62" s="71">
        <f t="shared" si="0"/>
        <v>3300</v>
      </c>
      <c r="L62" s="71" t="s">
        <v>29</v>
      </c>
      <c r="M62" s="72" t="s">
        <v>30</v>
      </c>
    </row>
    <row r="63" ht="24" spans="1:13">
      <c r="A63" s="62"/>
      <c r="B63" s="63" t="s">
        <v>15</v>
      </c>
      <c r="C63" s="64" t="s">
        <v>31</v>
      </c>
      <c r="D63" s="74"/>
      <c r="E63" s="74"/>
      <c r="F63" s="74"/>
      <c r="G63" s="75"/>
      <c r="H63" s="62">
        <v>2</v>
      </c>
      <c r="I63" s="69">
        <v>0.13</v>
      </c>
      <c r="J63" s="70">
        <v>400</v>
      </c>
      <c r="K63" s="71">
        <f t="shared" si="0"/>
        <v>800</v>
      </c>
      <c r="L63" s="71" t="s">
        <v>29</v>
      </c>
      <c r="M63" s="72" t="s">
        <v>30</v>
      </c>
    </row>
    <row r="64" ht="24" spans="1:13">
      <c r="A64" s="62"/>
      <c r="B64" s="63" t="s">
        <v>17</v>
      </c>
      <c r="C64" s="64" t="s">
        <v>32</v>
      </c>
      <c r="D64" s="74"/>
      <c r="E64" s="74"/>
      <c r="F64" s="74"/>
      <c r="G64" s="75"/>
      <c r="H64" s="68">
        <v>2</v>
      </c>
      <c r="I64" s="69">
        <v>0.13</v>
      </c>
      <c r="J64" s="70">
        <v>190</v>
      </c>
      <c r="K64" s="71">
        <f t="shared" si="0"/>
        <v>380</v>
      </c>
      <c r="L64" s="71" t="s">
        <v>29</v>
      </c>
      <c r="M64" s="72" t="s">
        <v>30</v>
      </c>
    </row>
    <row r="65" ht="24" spans="1:13">
      <c r="A65" s="62"/>
      <c r="B65" s="63" t="s">
        <v>19</v>
      </c>
      <c r="C65" s="64" t="s">
        <v>33</v>
      </c>
      <c r="D65" s="74"/>
      <c r="E65" s="74"/>
      <c r="F65" s="74"/>
      <c r="G65" s="75"/>
      <c r="H65" s="68">
        <v>2</v>
      </c>
      <c r="I65" s="69">
        <v>0.13</v>
      </c>
      <c r="J65" s="70">
        <v>60</v>
      </c>
      <c r="K65" s="71">
        <f t="shared" si="0"/>
        <v>120</v>
      </c>
      <c r="L65" s="71" t="s">
        <v>29</v>
      </c>
      <c r="M65" s="72" t="s">
        <v>30</v>
      </c>
    </row>
    <row r="66" ht="24" spans="1:13">
      <c r="A66" s="62"/>
      <c r="B66" s="63" t="s">
        <v>23</v>
      </c>
      <c r="C66" s="64" t="s">
        <v>34</v>
      </c>
      <c r="D66" s="77"/>
      <c r="E66" s="77"/>
      <c r="F66" s="77"/>
      <c r="G66" s="78"/>
      <c r="H66" s="68">
        <v>2</v>
      </c>
      <c r="I66" s="69">
        <v>0.13</v>
      </c>
      <c r="J66" s="70">
        <v>70</v>
      </c>
      <c r="K66" s="71">
        <f t="shared" ref="K66:K129" si="1">J66*H66</f>
        <v>140</v>
      </c>
      <c r="L66" s="71" t="s">
        <v>29</v>
      </c>
      <c r="M66" s="72" t="s">
        <v>30</v>
      </c>
    </row>
    <row r="67" ht="24" spans="1:13">
      <c r="A67" s="62">
        <v>14</v>
      </c>
      <c r="B67" s="64" t="s">
        <v>42</v>
      </c>
      <c r="C67" s="64" t="s">
        <v>52</v>
      </c>
      <c r="D67" s="66">
        <v>40</v>
      </c>
      <c r="E67" s="66">
        <v>15</v>
      </c>
      <c r="F67" s="66">
        <v>2840</v>
      </c>
      <c r="G67" s="67">
        <v>3</v>
      </c>
      <c r="H67" s="68">
        <v>3</v>
      </c>
      <c r="I67" s="69">
        <v>0.13</v>
      </c>
      <c r="J67" s="70">
        <v>2005</v>
      </c>
      <c r="K67" s="71">
        <f t="shared" si="1"/>
        <v>6015</v>
      </c>
      <c r="L67" s="71" t="s">
        <v>29</v>
      </c>
      <c r="M67" s="72" t="s">
        <v>30</v>
      </c>
    </row>
    <row r="68" ht="24" spans="1:13">
      <c r="A68" s="62"/>
      <c r="B68" s="63" t="s">
        <v>15</v>
      </c>
      <c r="C68" s="64" t="s">
        <v>31</v>
      </c>
      <c r="D68" s="74"/>
      <c r="E68" s="74"/>
      <c r="F68" s="74"/>
      <c r="G68" s="75"/>
      <c r="H68" s="62">
        <v>3</v>
      </c>
      <c r="I68" s="69">
        <v>0.13</v>
      </c>
      <c r="J68" s="70">
        <v>400</v>
      </c>
      <c r="K68" s="71">
        <f t="shared" si="1"/>
        <v>1200</v>
      </c>
      <c r="L68" s="71" t="s">
        <v>29</v>
      </c>
      <c r="M68" s="72" t="s">
        <v>30</v>
      </c>
    </row>
    <row r="69" ht="24" spans="1:13">
      <c r="A69" s="62"/>
      <c r="B69" s="63" t="s">
        <v>17</v>
      </c>
      <c r="C69" s="64" t="s">
        <v>32</v>
      </c>
      <c r="D69" s="74"/>
      <c r="E69" s="74"/>
      <c r="F69" s="74"/>
      <c r="G69" s="75"/>
      <c r="H69" s="68">
        <v>3</v>
      </c>
      <c r="I69" s="69">
        <v>0.13</v>
      </c>
      <c r="J69" s="70">
        <v>190</v>
      </c>
      <c r="K69" s="71">
        <f t="shared" si="1"/>
        <v>570</v>
      </c>
      <c r="L69" s="71" t="s">
        <v>29</v>
      </c>
      <c r="M69" s="72" t="s">
        <v>30</v>
      </c>
    </row>
    <row r="70" ht="24" spans="1:13">
      <c r="A70" s="62"/>
      <c r="B70" s="63" t="s">
        <v>19</v>
      </c>
      <c r="C70" s="64" t="s">
        <v>33</v>
      </c>
      <c r="D70" s="74"/>
      <c r="E70" s="74"/>
      <c r="F70" s="74"/>
      <c r="G70" s="75"/>
      <c r="H70" s="68">
        <v>3</v>
      </c>
      <c r="I70" s="69">
        <v>0.13</v>
      </c>
      <c r="J70" s="70">
        <v>60</v>
      </c>
      <c r="K70" s="71">
        <f t="shared" si="1"/>
        <v>180</v>
      </c>
      <c r="L70" s="71" t="s">
        <v>29</v>
      </c>
      <c r="M70" s="72" t="s">
        <v>30</v>
      </c>
    </row>
    <row r="71" ht="24" spans="1:13">
      <c r="A71" s="62"/>
      <c r="B71" s="63" t="s">
        <v>23</v>
      </c>
      <c r="C71" s="64" t="s">
        <v>34</v>
      </c>
      <c r="D71" s="77"/>
      <c r="E71" s="77"/>
      <c r="F71" s="77"/>
      <c r="G71" s="78"/>
      <c r="H71" s="68">
        <v>3</v>
      </c>
      <c r="I71" s="69">
        <v>0.13</v>
      </c>
      <c r="J71" s="70">
        <v>70</v>
      </c>
      <c r="K71" s="71">
        <f t="shared" si="1"/>
        <v>210</v>
      </c>
      <c r="L71" s="71" t="s">
        <v>29</v>
      </c>
      <c r="M71" s="72" t="s">
        <v>30</v>
      </c>
    </row>
    <row r="72" ht="24" spans="1:13">
      <c r="A72" s="62">
        <v>15</v>
      </c>
      <c r="B72" s="64" t="s">
        <v>53</v>
      </c>
      <c r="C72" s="64" t="s">
        <v>51</v>
      </c>
      <c r="D72" s="66">
        <v>15</v>
      </c>
      <c r="E72" s="66">
        <v>20</v>
      </c>
      <c r="F72" s="66">
        <v>2840</v>
      </c>
      <c r="G72" s="67">
        <v>2.2</v>
      </c>
      <c r="H72" s="68">
        <v>2</v>
      </c>
      <c r="I72" s="69">
        <v>0.13</v>
      </c>
      <c r="J72" s="70">
        <v>1650</v>
      </c>
      <c r="K72" s="71">
        <f t="shared" si="1"/>
        <v>3300</v>
      </c>
      <c r="L72" s="71" t="s">
        <v>29</v>
      </c>
      <c r="M72" s="72" t="s">
        <v>30</v>
      </c>
    </row>
    <row r="73" ht="24" spans="1:13">
      <c r="A73" s="62"/>
      <c r="B73" s="63" t="s">
        <v>15</v>
      </c>
      <c r="C73" s="64" t="s">
        <v>31</v>
      </c>
      <c r="D73" s="74"/>
      <c r="E73" s="74"/>
      <c r="F73" s="74"/>
      <c r="G73" s="75"/>
      <c r="H73" s="62">
        <v>2</v>
      </c>
      <c r="I73" s="69">
        <v>0.13</v>
      </c>
      <c r="J73" s="70">
        <v>400</v>
      </c>
      <c r="K73" s="71">
        <f t="shared" si="1"/>
        <v>800</v>
      </c>
      <c r="L73" s="71" t="s">
        <v>29</v>
      </c>
      <c r="M73" s="72" t="s">
        <v>30</v>
      </c>
    </row>
    <row r="74" ht="24" spans="1:13">
      <c r="A74" s="62"/>
      <c r="B74" s="63" t="s">
        <v>17</v>
      </c>
      <c r="C74" s="64" t="s">
        <v>32</v>
      </c>
      <c r="D74" s="74"/>
      <c r="E74" s="74"/>
      <c r="F74" s="74"/>
      <c r="G74" s="75"/>
      <c r="H74" s="68">
        <v>2</v>
      </c>
      <c r="I74" s="69">
        <v>0.13</v>
      </c>
      <c r="J74" s="70">
        <v>190</v>
      </c>
      <c r="K74" s="71">
        <f t="shared" si="1"/>
        <v>380</v>
      </c>
      <c r="L74" s="71" t="s">
        <v>29</v>
      </c>
      <c r="M74" s="72" t="s">
        <v>30</v>
      </c>
    </row>
    <row r="75" ht="24" spans="1:13">
      <c r="A75" s="62"/>
      <c r="B75" s="63" t="s">
        <v>19</v>
      </c>
      <c r="C75" s="64" t="s">
        <v>33</v>
      </c>
      <c r="D75" s="74"/>
      <c r="E75" s="74"/>
      <c r="F75" s="74"/>
      <c r="G75" s="75"/>
      <c r="H75" s="68">
        <v>2</v>
      </c>
      <c r="I75" s="69">
        <v>0.13</v>
      </c>
      <c r="J75" s="70">
        <v>60</v>
      </c>
      <c r="K75" s="71">
        <f t="shared" si="1"/>
        <v>120</v>
      </c>
      <c r="L75" s="71" t="s">
        <v>29</v>
      </c>
      <c r="M75" s="72" t="s">
        <v>30</v>
      </c>
    </row>
    <row r="76" ht="24" spans="1:13">
      <c r="A76" s="62"/>
      <c r="B76" s="63" t="s">
        <v>23</v>
      </c>
      <c r="C76" s="64" t="s">
        <v>34</v>
      </c>
      <c r="D76" s="77"/>
      <c r="E76" s="77"/>
      <c r="F76" s="77"/>
      <c r="G76" s="78"/>
      <c r="H76" s="68">
        <v>2</v>
      </c>
      <c r="I76" s="69">
        <v>0.13</v>
      </c>
      <c r="J76" s="70">
        <v>70</v>
      </c>
      <c r="K76" s="71">
        <f t="shared" si="1"/>
        <v>140</v>
      </c>
      <c r="L76" s="71" t="s">
        <v>29</v>
      </c>
      <c r="M76" s="72" t="s">
        <v>30</v>
      </c>
    </row>
    <row r="77" ht="28.5" spans="1:13">
      <c r="A77" s="62">
        <v>16</v>
      </c>
      <c r="B77" s="64" t="s">
        <v>54</v>
      </c>
      <c r="C77" s="64" t="s">
        <v>55</v>
      </c>
      <c r="D77" s="66">
        <v>80</v>
      </c>
      <c r="E77" s="66">
        <v>20</v>
      </c>
      <c r="F77" s="66">
        <v>2840</v>
      </c>
      <c r="G77" s="67">
        <v>7.5</v>
      </c>
      <c r="H77" s="68">
        <v>3</v>
      </c>
      <c r="I77" s="69">
        <v>0.13</v>
      </c>
      <c r="J77" s="70">
        <v>3780</v>
      </c>
      <c r="K77" s="71">
        <f t="shared" si="1"/>
        <v>11340</v>
      </c>
      <c r="L77" s="71" t="s">
        <v>29</v>
      </c>
      <c r="M77" s="72" t="s">
        <v>30</v>
      </c>
    </row>
    <row r="78" ht="24" spans="1:13">
      <c r="A78" s="62"/>
      <c r="B78" s="63" t="s">
        <v>15</v>
      </c>
      <c r="C78" s="64" t="s">
        <v>44</v>
      </c>
      <c r="D78" s="74"/>
      <c r="E78" s="74"/>
      <c r="F78" s="74"/>
      <c r="G78" s="75"/>
      <c r="H78" s="68">
        <v>3</v>
      </c>
      <c r="I78" s="69">
        <v>0.13</v>
      </c>
      <c r="J78" s="70">
        <v>620</v>
      </c>
      <c r="K78" s="71">
        <f t="shared" si="1"/>
        <v>1860</v>
      </c>
      <c r="L78" s="71" t="s">
        <v>29</v>
      </c>
      <c r="M78" s="72" t="s">
        <v>30</v>
      </c>
    </row>
    <row r="79" ht="24" spans="1:13">
      <c r="A79" s="62"/>
      <c r="B79" s="63" t="s">
        <v>17</v>
      </c>
      <c r="C79" s="64" t="s">
        <v>32</v>
      </c>
      <c r="D79" s="74"/>
      <c r="E79" s="74"/>
      <c r="F79" s="74"/>
      <c r="G79" s="75"/>
      <c r="H79" s="68">
        <v>3</v>
      </c>
      <c r="I79" s="69">
        <v>0.13</v>
      </c>
      <c r="J79" s="70">
        <v>190</v>
      </c>
      <c r="K79" s="71">
        <f t="shared" si="1"/>
        <v>570</v>
      </c>
      <c r="L79" s="71" t="s">
        <v>29</v>
      </c>
      <c r="M79" s="72" t="s">
        <v>30</v>
      </c>
    </row>
    <row r="80" ht="24" spans="1:13">
      <c r="A80" s="62"/>
      <c r="B80" s="63" t="s">
        <v>19</v>
      </c>
      <c r="C80" s="64" t="s">
        <v>33</v>
      </c>
      <c r="D80" s="74"/>
      <c r="E80" s="74"/>
      <c r="F80" s="74"/>
      <c r="G80" s="75"/>
      <c r="H80" s="68">
        <v>3</v>
      </c>
      <c r="I80" s="69">
        <v>0.13</v>
      </c>
      <c r="J80" s="70">
        <v>60</v>
      </c>
      <c r="K80" s="71">
        <f t="shared" si="1"/>
        <v>180</v>
      </c>
      <c r="L80" s="71" t="s">
        <v>29</v>
      </c>
      <c r="M80" s="72" t="s">
        <v>30</v>
      </c>
    </row>
    <row r="81" ht="24" spans="1:13">
      <c r="A81" s="62"/>
      <c r="B81" s="63" t="s">
        <v>23</v>
      </c>
      <c r="C81" s="64" t="s">
        <v>34</v>
      </c>
      <c r="D81" s="77"/>
      <c r="E81" s="77"/>
      <c r="F81" s="77"/>
      <c r="G81" s="78"/>
      <c r="H81" s="68">
        <v>3</v>
      </c>
      <c r="I81" s="69">
        <v>0.13</v>
      </c>
      <c r="J81" s="70">
        <v>70</v>
      </c>
      <c r="K81" s="71">
        <f t="shared" si="1"/>
        <v>210</v>
      </c>
      <c r="L81" s="71" t="s">
        <v>29</v>
      </c>
      <c r="M81" s="72" t="s">
        <v>30</v>
      </c>
    </row>
    <row r="82" ht="24" spans="1:13">
      <c r="A82" s="62">
        <v>17</v>
      </c>
      <c r="B82" s="64" t="s">
        <v>50</v>
      </c>
      <c r="C82" s="64" t="s">
        <v>51</v>
      </c>
      <c r="D82" s="66">
        <v>15</v>
      </c>
      <c r="E82" s="66">
        <v>20</v>
      </c>
      <c r="F82" s="66">
        <v>2840</v>
      </c>
      <c r="G82" s="67">
        <v>2.2</v>
      </c>
      <c r="H82" s="62">
        <v>2</v>
      </c>
      <c r="I82" s="69">
        <v>0.13</v>
      </c>
      <c r="J82" s="70">
        <v>1650</v>
      </c>
      <c r="K82" s="71">
        <f t="shared" si="1"/>
        <v>3300</v>
      </c>
      <c r="L82" s="71" t="s">
        <v>29</v>
      </c>
      <c r="M82" s="72" t="s">
        <v>30</v>
      </c>
    </row>
    <row r="83" ht="24" spans="1:13">
      <c r="A83" s="62"/>
      <c r="B83" s="63" t="s">
        <v>15</v>
      </c>
      <c r="C83" s="64" t="s">
        <v>31</v>
      </c>
      <c r="D83" s="74"/>
      <c r="E83" s="74"/>
      <c r="F83" s="74"/>
      <c r="G83" s="75"/>
      <c r="H83" s="62">
        <v>2</v>
      </c>
      <c r="I83" s="69">
        <v>0.13</v>
      </c>
      <c r="J83" s="70">
        <v>400</v>
      </c>
      <c r="K83" s="71">
        <f t="shared" si="1"/>
        <v>800</v>
      </c>
      <c r="L83" s="71" t="s">
        <v>29</v>
      </c>
      <c r="M83" s="72" t="s">
        <v>30</v>
      </c>
    </row>
    <row r="84" ht="24" spans="1:13">
      <c r="A84" s="62"/>
      <c r="B84" s="63" t="s">
        <v>17</v>
      </c>
      <c r="C84" s="64" t="s">
        <v>32</v>
      </c>
      <c r="D84" s="74"/>
      <c r="E84" s="74"/>
      <c r="F84" s="74"/>
      <c r="G84" s="75"/>
      <c r="H84" s="68">
        <v>2</v>
      </c>
      <c r="I84" s="69">
        <v>0.13</v>
      </c>
      <c r="J84" s="70">
        <v>190</v>
      </c>
      <c r="K84" s="71">
        <f t="shared" si="1"/>
        <v>380</v>
      </c>
      <c r="L84" s="71" t="s">
        <v>29</v>
      </c>
      <c r="M84" s="72" t="s">
        <v>30</v>
      </c>
    </row>
    <row r="85" ht="24" spans="1:13">
      <c r="A85" s="62"/>
      <c r="B85" s="63" t="s">
        <v>19</v>
      </c>
      <c r="C85" s="64" t="s">
        <v>33</v>
      </c>
      <c r="D85" s="74"/>
      <c r="E85" s="74"/>
      <c r="F85" s="74"/>
      <c r="G85" s="75"/>
      <c r="H85" s="68">
        <v>2</v>
      </c>
      <c r="I85" s="69">
        <v>0.13</v>
      </c>
      <c r="J85" s="70">
        <v>60</v>
      </c>
      <c r="K85" s="71">
        <f t="shared" si="1"/>
        <v>120</v>
      </c>
      <c r="L85" s="71" t="s">
        <v>29</v>
      </c>
      <c r="M85" s="72" t="s">
        <v>30</v>
      </c>
    </row>
    <row r="86" ht="24" spans="1:13">
      <c r="A86" s="62"/>
      <c r="B86" s="63" t="s">
        <v>23</v>
      </c>
      <c r="C86" s="64" t="s">
        <v>34</v>
      </c>
      <c r="D86" s="77"/>
      <c r="E86" s="77"/>
      <c r="F86" s="77"/>
      <c r="G86" s="78"/>
      <c r="H86" s="68">
        <v>2</v>
      </c>
      <c r="I86" s="69">
        <v>0.13</v>
      </c>
      <c r="J86" s="70">
        <v>70</v>
      </c>
      <c r="K86" s="71">
        <f t="shared" si="1"/>
        <v>140</v>
      </c>
      <c r="L86" s="71" t="s">
        <v>29</v>
      </c>
      <c r="M86" s="72" t="s">
        <v>30</v>
      </c>
    </row>
    <row r="87" ht="24" spans="1:13">
      <c r="A87" s="62">
        <v>18</v>
      </c>
      <c r="B87" s="64" t="s">
        <v>53</v>
      </c>
      <c r="C87" s="64" t="s">
        <v>51</v>
      </c>
      <c r="D87" s="66">
        <v>15</v>
      </c>
      <c r="E87" s="66">
        <v>20</v>
      </c>
      <c r="F87" s="66">
        <v>2840</v>
      </c>
      <c r="G87" s="67">
        <v>2.2</v>
      </c>
      <c r="H87" s="62">
        <v>2</v>
      </c>
      <c r="I87" s="69">
        <v>0.13</v>
      </c>
      <c r="J87" s="70">
        <v>1650</v>
      </c>
      <c r="K87" s="71">
        <f t="shared" si="1"/>
        <v>3300</v>
      </c>
      <c r="L87" s="71" t="s">
        <v>29</v>
      </c>
      <c r="M87" s="72" t="s">
        <v>30</v>
      </c>
    </row>
    <row r="88" ht="24" spans="1:13">
      <c r="A88" s="62"/>
      <c r="B88" s="63" t="s">
        <v>15</v>
      </c>
      <c r="C88" s="64" t="s">
        <v>31</v>
      </c>
      <c r="D88" s="74"/>
      <c r="E88" s="74"/>
      <c r="F88" s="74"/>
      <c r="G88" s="75"/>
      <c r="H88" s="62">
        <v>2</v>
      </c>
      <c r="I88" s="69">
        <v>0.13</v>
      </c>
      <c r="J88" s="70">
        <v>400</v>
      </c>
      <c r="K88" s="71">
        <f t="shared" si="1"/>
        <v>800</v>
      </c>
      <c r="L88" s="71" t="s">
        <v>29</v>
      </c>
      <c r="M88" s="72" t="s">
        <v>30</v>
      </c>
    </row>
    <row r="89" ht="24" spans="1:13">
      <c r="A89" s="62"/>
      <c r="B89" s="63" t="s">
        <v>17</v>
      </c>
      <c r="C89" s="64" t="s">
        <v>32</v>
      </c>
      <c r="D89" s="74"/>
      <c r="E89" s="74"/>
      <c r="F89" s="74"/>
      <c r="G89" s="75"/>
      <c r="H89" s="68">
        <v>2</v>
      </c>
      <c r="I89" s="69">
        <v>0.13</v>
      </c>
      <c r="J89" s="70">
        <v>190</v>
      </c>
      <c r="K89" s="71">
        <f t="shared" si="1"/>
        <v>380</v>
      </c>
      <c r="L89" s="71" t="s">
        <v>29</v>
      </c>
      <c r="M89" s="72" t="s">
        <v>30</v>
      </c>
    </row>
    <row r="90" ht="24" spans="1:13">
      <c r="A90" s="62"/>
      <c r="B90" s="63" t="s">
        <v>19</v>
      </c>
      <c r="C90" s="64" t="s">
        <v>33</v>
      </c>
      <c r="D90" s="74"/>
      <c r="E90" s="74"/>
      <c r="F90" s="74"/>
      <c r="G90" s="75"/>
      <c r="H90" s="68">
        <v>2</v>
      </c>
      <c r="I90" s="69">
        <v>0.13</v>
      </c>
      <c r="J90" s="70">
        <v>60</v>
      </c>
      <c r="K90" s="71">
        <f t="shared" si="1"/>
        <v>120</v>
      </c>
      <c r="L90" s="71" t="s">
        <v>29</v>
      </c>
      <c r="M90" s="72" t="s">
        <v>30</v>
      </c>
    </row>
    <row r="91" ht="24" spans="1:13">
      <c r="A91" s="62"/>
      <c r="B91" s="63" t="s">
        <v>23</v>
      </c>
      <c r="C91" s="64" t="s">
        <v>34</v>
      </c>
      <c r="D91" s="77"/>
      <c r="E91" s="77"/>
      <c r="F91" s="77"/>
      <c r="G91" s="78"/>
      <c r="H91" s="68">
        <v>2</v>
      </c>
      <c r="I91" s="69">
        <v>0.13</v>
      </c>
      <c r="J91" s="70">
        <v>70</v>
      </c>
      <c r="K91" s="71">
        <f t="shared" si="1"/>
        <v>140</v>
      </c>
      <c r="L91" s="71" t="s">
        <v>29</v>
      </c>
      <c r="M91" s="72" t="s">
        <v>30</v>
      </c>
    </row>
    <row r="92" ht="28.5" spans="1:13">
      <c r="A92" s="62">
        <v>19</v>
      </c>
      <c r="B92" s="64" t="s">
        <v>56</v>
      </c>
      <c r="C92" s="64" t="s">
        <v>28</v>
      </c>
      <c r="D92" s="66">
        <v>20</v>
      </c>
      <c r="E92" s="66">
        <v>20</v>
      </c>
      <c r="F92" s="66">
        <v>2840</v>
      </c>
      <c r="G92" s="67">
        <v>2.2</v>
      </c>
      <c r="H92" s="62">
        <v>2</v>
      </c>
      <c r="I92" s="69">
        <v>0.13</v>
      </c>
      <c r="J92" s="70">
        <v>1650</v>
      </c>
      <c r="K92" s="71">
        <f t="shared" si="1"/>
        <v>3300</v>
      </c>
      <c r="L92" s="71" t="s">
        <v>29</v>
      </c>
      <c r="M92" s="72" t="s">
        <v>30</v>
      </c>
    </row>
    <row r="93" ht="24" spans="1:13">
      <c r="A93" s="62"/>
      <c r="B93" s="63" t="s">
        <v>15</v>
      </c>
      <c r="C93" s="64" t="s">
        <v>31</v>
      </c>
      <c r="D93" s="74"/>
      <c r="E93" s="74"/>
      <c r="F93" s="74"/>
      <c r="G93" s="75"/>
      <c r="H93" s="62">
        <v>2</v>
      </c>
      <c r="I93" s="69">
        <v>0.13</v>
      </c>
      <c r="J93" s="70">
        <v>400</v>
      </c>
      <c r="K93" s="71">
        <f t="shared" si="1"/>
        <v>800</v>
      </c>
      <c r="L93" s="71" t="s">
        <v>29</v>
      </c>
      <c r="M93" s="72" t="s">
        <v>30</v>
      </c>
    </row>
    <row r="94" ht="24" spans="1:13">
      <c r="A94" s="62"/>
      <c r="B94" s="63" t="s">
        <v>17</v>
      </c>
      <c r="C94" s="64" t="s">
        <v>32</v>
      </c>
      <c r="D94" s="74"/>
      <c r="E94" s="74"/>
      <c r="F94" s="74"/>
      <c r="G94" s="75"/>
      <c r="H94" s="68">
        <v>2</v>
      </c>
      <c r="I94" s="69">
        <v>0.13</v>
      </c>
      <c r="J94" s="70">
        <v>285</v>
      </c>
      <c r="K94" s="71">
        <f t="shared" si="1"/>
        <v>570</v>
      </c>
      <c r="L94" s="71" t="s">
        <v>29</v>
      </c>
      <c r="M94" s="72" t="s">
        <v>30</v>
      </c>
    </row>
    <row r="95" ht="24" spans="1:13">
      <c r="A95" s="62"/>
      <c r="B95" s="63" t="s">
        <v>19</v>
      </c>
      <c r="C95" s="64" t="s">
        <v>33</v>
      </c>
      <c r="D95" s="74"/>
      <c r="E95" s="74"/>
      <c r="F95" s="74"/>
      <c r="G95" s="75"/>
      <c r="H95" s="68">
        <v>2</v>
      </c>
      <c r="I95" s="69">
        <v>0.13</v>
      </c>
      <c r="J95" s="70">
        <v>95</v>
      </c>
      <c r="K95" s="71">
        <f t="shared" si="1"/>
        <v>190</v>
      </c>
      <c r="L95" s="71" t="s">
        <v>29</v>
      </c>
      <c r="M95" s="72" t="s">
        <v>30</v>
      </c>
    </row>
    <row r="96" ht="24" spans="1:13">
      <c r="A96" s="62"/>
      <c r="B96" s="63" t="s">
        <v>23</v>
      </c>
      <c r="C96" s="64" t="s">
        <v>34</v>
      </c>
      <c r="D96" s="77"/>
      <c r="E96" s="77"/>
      <c r="F96" s="77"/>
      <c r="G96" s="78"/>
      <c r="H96" s="68">
        <v>2</v>
      </c>
      <c r="I96" s="69">
        <v>0.13</v>
      </c>
      <c r="J96" s="70">
        <v>70</v>
      </c>
      <c r="K96" s="71">
        <f t="shared" si="1"/>
        <v>140</v>
      </c>
      <c r="L96" s="71" t="s">
        <v>29</v>
      </c>
      <c r="M96" s="72" t="s">
        <v>30</v>
      </c>
    </row>
    <row r="97" ht="24" spans="1:13">
      <c r="A97" s="62">
        <v>20</v>
      </c>
      <c r="B97" s="64" t="s">
        <v>57</v>
      </c>
      <c r="C97" s="64" t="s">
        <v>36</v>
      </c>
      <c r="D97" s="66">
        <v>10</v>
      </c>
      <c r="E97" s="66">
        <v>18</v>
      </c>
      <c r="F97" s="66">
        <v>2840</v>
      </c>
      <c r="G97" s="67">
        <v>1.5</v>
      </c>
      <c r="H97" s="68">
        <v>2</v>
      </c>
      <c r="I97" s="69">
        <v>0.13</v>
      </c>
      <c r="J97" s="70">
        <v>1520</v>
      </c>
      <c r="K97" s="71">
        <f t="shared" si="1"/>
        <v>3040</v>
      </c>
      <c r="L97" s="71" t="s">
        <v>29</v>
      </c>
      <c r="M97" s="72" t="s">
        <v>30</v>
      </c>
    </row>
    <row r="98" ht="24" spans="1:13">
      <c r="A98" s="62"/>
      <c r="B98" s="63" t="s">
        <v>15</v>
      </c>
      <c r="C98" s="64" t="s">
        <v>31</v>
      </c>
      <c r="D98" s="74"/>
      <c r="E98" s="74"/>
      <c r="F98" s="74"/>
      <c r="G98" s="75"/>
      <c r="H98" s="62">
        <v>2</v>
      </c>
      <c r="I98" s="69">
        <v>0.13</v>
      </c>
      <c r="J98" s="70">
        <v>400</v>
      </c>
      <c r="K98" s="71">
        <f t="shared" si="1"/>
        <v>800</v>
      </c>
      <c r="L98" s="71" t="s">
        <v>29</v>
      </c>
      <c r="M98" s="72" t="s">
        <v>30</v>
      </c>
    </row>
    <row r="99" ht="24" spans="1:13">
      <c r="A99" s="62"/>
      <c r="B99" s="63" t="s">
        <v>17</v>
      </c>
      <c r="C99" s="64" t="s">
        <v>32</v>
      </c>
      <c r="D99" s="74"/>
      <c r="E99" s="74"/>
      <c r="F99" s="74"/>
      <c r="G99" s="75"/>
      <c r="H99" s="68">
        <v>2</v>
      </c>
      <c r="I99" s="69">
        <v>0.13</v>
      </c>
      <c r="J99" s="70">
        <v>285</v>
      </c>
      <c r="K99" s="71">
        <f t="shared" si="1"/>
        <v>570</v>
      </c>
      <c r="L99" s="71" t="s">
        <v>29</v>
      </c>
      <c r="M99" s="72" t="s">
        <v>30</v>
      </c>
    </row>
    <row r="100" ht="24" spans="1:13">
      <c r="A100" s="62"/>
      <c r="B100" s="63" t="s">
        <v>19</v>
      </c>
      <c r="C100" s="64" t="s">
        <v>33</v>
      </c>
      <c r="D100" s="74"/>
      <c r="E100" s="74"/>
      <c r="F100" s="74"/>
      <c r="G100" s="75"/>
      <c r="H100" s="68">
        <v>2</v>
      </c>
      <c r="I100" s="69">
        <v>0.13</v>
      </c>
      <c r="J100" s="70">
        <v>95</v>
      </c>
      <c r="K100" s="71">
        <f t="shared" si="1"/>
        <v>190</v>
      </c>
      <c r="L100" s="71" t="s">
        <v>29</v>
      </c>
      <c r="M100" s="72" t="s">
        <v>30</v>
      </c>
    </row>
    <row r="101" ht="24" spans="1:13">
      <c r="A101" s="62"/>
      <c r="B101" s="63" t="s">
        <v>23</v>
      </c>
      <c r="C101" s="64" t="s">
        <v>34</v>
      </c>
      <c r="D101" s="77"/>
      <c r="E101" s="77"/>
      <c r="F101" s="77"/>
      <c r="G101" s="78"/>
      <c r="H101" s="68">
        <v>2</v>
      </c>
      <c r="I101" s="69">
        <v>0.13</v>
      </c>
      <c r="J101" s="70">
        <v>70</v>
      </c>
      <c r="K101" s="71">
        <f t="shared" si="1"/>
        <v>140</v>
      </c>
      <c r="L101" s="71" t="s">
        <v>29</v>
      </c>
      <c r="M101" s="72" t="s">
        <v>30</v>
      </c>
    </row>
    <row r="102" ht="24" spans="1:13">
      <c r="A102" s="62">
        <v>21</v>
      </c>
      <c r="B102" s="64" t="s">
        <v>57</v>
      </c>
      <c r="C102" s="64" t="s">
        <v>36</v>
      </c>
      <c r="D102" s="66">
        <v>10</v>
      </c>
      <c r="E102" s="66">
        <v>18</v>
      </c>
      <c r="F102" s="66">
        <v>2840</v>
      </c>
      <c r="G102" s="67">
        <v>1.5</v>
      </c>
      <c r="H102" s="68">
        <v>2</v>
      </c>
      <c r="I102" s="69">
        <v>0.13</v>
      </c>
      <c r="J102" s="70">
        <v>1520</v>
      </c>
      <c r="K102" s="71">
        <f t="shared" si="1"/>
        <v>3040</v>
      </c>
      <c r="L102" s="71" t="s">
        <v>29</v>
      </c>
      <c r="M102" s="72" t="s">
        <v>30</v>
      </c>
    </row>
    <row r="103" ht="24" spans="1:13">
      <c r="A103" s="62"/>
      <c r="B103" s="63" t="s">
        <v>15</v>
      </c>
      <c r="C103" s="64" t="s">
        <v>31</v>
      </c>
      <c r="D103" s="74"/>
      <c r="E103" s="74"/>
      <c r="F103" s="74"/>
      <c r="G103" s="75"/>
      <c r="H103" s="62">
        <v>2</v>
      </c>
      <c r="I103" s="69">
        <v>0.13</v>
      </c>
      <c r="J103" s="70">
        <v>400</v>
      </c>
      <c r="K103" s="71">
        <f t="shared" si="1"/>
        <v>800</v>
      </c>
      <c r="L103" s="71" t="s">
        <v>29</v>
      </c>
      <c r="M103" s="72" t="s">
        <v>30</v>
      </c>
    </row>
    <row r="104" ht="24" spans="1:13">
      <c r="A104" s="62"/>
      <c r="B104" s="63" t="s">
        <v>17</v>
      </c>
      <c r="C104" s="64" t="s">
        <v>32</v>
      </c>
      <c r="D104" s="74"/>
      <c r="E104" s="74"/>
      <c r="F104" s="74"/>
      <c r="G104" s="75"/>
      <c r="H104" s="68">
        <v>2</v>
      </c>
      <c r="I104" s="69">
        <v>0.13</v>
      </c>
      <c r="J104" s="70">
        <v>285</v>
      </c>
      <c r="K104" s="71">
        <f t="shared" si="1"/>
        <v>570</v>
      </c>
      <c r="L104" s="71" t="s">
        <v>29</v>
      </c>
      <c r="M104" s="72" t="s">
        <v>30</v>
      </c>
    </row>
    <row r="105" ht="24" spans="1:13">
      <c r="A105" s="62"/>
      <c r="B105" s="63" t="s">
        <v>19</v>
      </c>
      <c r="C105" s="64" t="s">
        <v>33</v>
      </c>
      <c r="D105" s="74"/>
      <c r="E105" s="74"/>
      <c r="F105" s="74"/>
      <c r="G105" s="75"/>
      <c r="H105" s="68">
        <v>2</v>
      </c>
      <c r="I105" s="69">
        <v>0.13</v>
      </c>
      <c r="J105" s="70">
        <v>95</v>
      </c>
      <c r="K105" s="71">
        <f t="shared" si="1"/>
        <v>190</v>
      </c>
      <c r="L105" s="71" t="s">
        <v>29</v>
      </c>
      <c r="M105" s="72" t="s">
        <v>30</v>
      </c>
    </row>
    <row r="106" ht="24" spans="1:13">
      <c r="A106" s="62"/>
      <c r="B106" s="63" t="s">
        <v>23</v>
      </c>
      <c r="C106" s="64" t="s">
        <v>34</v>
      </c>
      <c r="D106" s="77"/>
      <c r="E106" s="77"/>
      <c r="F106" s="77"/>
      <c r="G106" s="78"/>
      <c r="H106" s="68">
        <v>2</v>
      </c>
      <c r="I106" s="69">
        <v>0.13</v>
      </c>
      <c r="J106" s="70">
        <v>70</v>
      </c>
      <c r="K106" s="71">
        <f t="shared" si="1"/>
        <v>140</v>
      </c>
      <c r="L106" s="71" t="s">
        <v>29</v>
      </c>
      <c r="M106" s="72" t="s">
        <v>30</v>
      </c>
    </row>
    <row r="107" ht="28.5" spans="1:13">
      <c r="A107" s="62">
        <v>22</v>
      </c>
      <c r="B107" s="64" t="s">
        <v>58</v>
      </c>
      <c r="C107" s="64" t="s">
        <v>59</v>
      </c>
      <c r="D107" s="66">
        <v>15</v>
      </c>
      <c r="E107" s="66">
        <v>25</v>
      </c>
      <c r="F107" s="66">
        <v>2840</v>
      </c>
      <c r="G107" s="67">
        <v>3</v>
      </c>
      <c r="H107" s="62">
        <v>2</v>
      </c>
      <c r="I107" s="69">
        <v>0.13</v>
      </c>
      <c r="J107" s="70">
        <v>2005</v>
      </c>
      <c r="K107" s="71">
        <f t="shared" si="1"/>
        <v>4010</v>
      </c>
      <c r="L107" s="71" t="s">
        <v>29</v>
      </c>
      <c r="M107" s="72" t="s">
        <v>30</v>
      </c>
    </row>
    <row r="108" ht="24" spans="1:13">
      <c r="A108" s="62"/>
      <c r="B108" s="63" t="s">
        <v>15</v>
      </c>
      <c r="C108" s="64" t="s">
        <v>31</v>
      </c>
      <c r="D108" s="74"/>
      <c r="E108" s="74"/>
      <c r="F108" s="74"/>
      <c r="G108" s="75"/>
      <c r="H108" s="62">
        <v>2</v>
      </c>
      <c r="I108" s="69">
        <v>0.13</v>
      </c>
      <c r="J108" s="70">
        <v>400</v>
      </c>
      <c r="K108" s="71">
        <f t="shared" si="1"/>
        <v>800</v>
      </c>
      <c r="L108" s="71" t="s">
        <v>29</v>
      </c>
      <c r="M108" s="72" t="s">
        <v>30</v>
      </c>
    </row>
    <row r="109" ht="24" spans="1:13">
      <c r="A109" s="62"/>
      <c r="B109" s="63" t="s">
        <v>17</v>
      </c>
      <c r="C109" s="64" t="s">
        <v>32</v>
      </c>
      <c r="D109" s="74"/>
      <c r="E109" s="74"/>
      <c r="F109" s="74"/>
      <c r="G109" s="75"/>
      <c r="H109" s="68">
        <v>2</v>
      </c>
      <c r="I109" s="69">
        <v>0.13</v>
      </c>
      <c r="J109" s="70">
        <v>285</v>
      </c>
      <c r="K109" s="71">
        <f t="shared" si="1"/>
        <v>570</v>
      </c>
      <c r="L109" s="71" t="s">
        <v>29</v>
      </c>
      <c r="M109" s="72" t="s">
        <v>30</v>
      </c>
    </row>
    <row r="110" ht="24" spans="1:13">
      <c r="A110" s="62"/>
      <c r="B110" s="63" t="s">
        <v>19</v>
      </c>
      <c r="C110" s="64" t="s">
        <v>33</v>
      </c>
      <c r="D110" s="74"/>
      <c r="E110" s="74"/>
      <c r="F110" s="74"/>
      <c r="G110" s="75"/>
      <c r="H110" s="68">
        <v>2</v>
      </c>
      <c r="I110" s="69">
        <v>0.13</v>
      </c>
      <c r="J110" s="70">
        <v>95</v>
      </c>
      <c r="K110" s="71">
        <f t="shared" si="1"/>
        <v>190</v>
      </c>
      <c r="L110" s="71" t="s">
        <v>29</v>
      </c>
      <c r="M110" s="72" t="s">
        <v>30</v>
      </c>
    </row>
    <row r="111" ht="24" spans="1:13">
      <c r="A111" s="62"/>
      <c r="B111" s="63" t="s">
        <v>23</v>
      </c>
      <c r="C111" s="64" t="s">
        <v>34</v>
      </c>
      <c r="D111" s="77"/>
      <c r="E111" s="77"/>
      <c r="F111" s="77"/>
      <c r="G111" s="78"/>
      <c r="H111" s="68">
        <v>2</v>
      </c>
      <c r="I111" s="69">
        <v>0.13</v>
      </c>
      <c r="J111" s="70">
        <v>70</v>
      </c>
      <c r="K111" s="71">
        <f t="shared" si="1"/>
        <v>140</v>
      </c>
      <c r="L111" s="71" t="s">
        <v>29</v>
      </c>
      <c r="M111" s="72" t="s">
        <v>30</v>
      </c>
    </row>
    <row r="112" ht="28.5" spans="1:13">
      <c r="A112" s="62">
        <v>23</v>
      </c>
      <c r="B112" s="64" t="s">
        <v>60</v>
      </c>
      <c r="C112" s="64" t="s">
        <v>61</v>
      </c>
      <c r="D112" s="66">
        <v>10</v>
      </c>
      <c r="E112" s="66">
        <v>30</v>
      </c>
      <c r="F112" s="66">
        <v>2840</v>
      </c>
      <c r="G112" s="67">
        <v>3</v>
      </c>
      <c r="H112" s="68">
        <v>1</v>
      </c>
      <c r="I112" s="69">
        <v>0.13</v>
      </c>
      <c r="J112" s="70">
        <v>2265</v>
      </c>
      <c r="K112" s="71">
        <f t="shared" si="1"/>
        <v>2265</v>
      </c>
      <c r="L112" s="71" t="s">
        <v>29</v>
      </c>
      <c r="M112" s="72" t="s">
        <v>30</v>
      </c>
    </row>
    <row r="113" ht="24" spans="1:13">
      <c r="A113" s="62"/>
      <c r="B113" s="63" t="s">
        <v>15</v>
      </c>
      <c r="C113" s="64" t="s">
        <v>31</v>
      </c>
      <c r="D113" s="74"/>
      <c r="E113" s="74"/>
      <c r="F113" s="74"/>
      <c r="G113" s="75"/>
      <c r="H113" s="68">
        <v>1</v>
      </c>
      <c r="I113" s="69">
        <v>0.13</v>
      </c>
      <c r="J113" s="70">
        <v>400</v>
      </c>
      <c r="K113" s="71">
        <f t="shared" si="1"/>
        <v>400</v>
      </c>
      <c r="L113" s="71" t="s">
        <v>29</v>
      </c>
      <c r="M113" s="72" t="s">
        <v>30</v>
      </c>
    </row>
    <row r="114" ht="24" spans="1:13">
      <c r="A114" s="62"/>
      <c r="B114" s="63" t="s">
        <v>17</v>
      </c>
      <c r="C114" s="64" t="s">
        <v>32</v>
      </c>
      <c r="D114" s="74"/>
      <c r="E114" s="74"/>
      <c r="F114" s="74"/>
      <c r="G114" s="75"/>
      <c r="H114" s="68">
        <v>1</v>
      </c>
      <c r="I114" s="69">
        <v>0.13</v>
      </c>
      <c r="J114" s="70">
        <v>665</v>
      </c>
      <c r="K114" s="71">
        <f t="shared" si="1"/>
        <v>665</v>
      </c>
      <c r="L114" s="71" t="s">
        <v>29</v>
      </c>
      <c r="M114" s="72" t="s">
        <v>30</v>
      </c>
    </row>
    <row r="115" ht="24" spans="1:13">
      <c r="A115" s="62"/>
      <c r="B115" s="63" t="s">
        <v>19</v>
      </c>
      <c r="C115" s="64" t="s">
        <v>33</v>
      </c>
      <c r="D115" s="74"/>
      <c r="E115" s="74"/>
      <c r="F115" s="74"/>
      <c r="G115" s="75"/>
      <c r="H115" s="68">
        <v>1</v>
      </c>
      <c r="I115" s="69">
        <v>0.13</v>
      </c>
      <c r="J115" s="70">
        <v>210</v>
      </c>
      <c r="K115" s="71">
        <f t="shared" si="1"/>
        <v>210</v>
      </c>
      <c r="L115" s="71" t="s">
        <v>29</v>
      </c>
      <c r="M115" s="72" t="s">
        <v>30</v>
      </c>
    </row>
    <row r="116" ht="24" spans="1:13">
      <c r="A116" s="62"/>
      <c r="B116" s="63" t="s">
        <v>23</v>
      </c>
      <c r="C116" s="64" t="s">
        <v>34</v>
      </c>
      <c r="D116" s="77"/>
      <c r="E116" s="77"/>
      <c r="F116" s="77"/>
      <c r="G116" s="78"/>
      <c r="H116" s="68">
        <v>1</v>
      </c>
      <c r="I116" s="69">
        <v>0.13</v>
      </c>
      <c r="J116" s="70">
        <v>70</v>
      </c>
      <c r="K116" s="71">
        <f t="shared" si="1"/>
        <v>70</v>
      </c>
      <c r="L116" s="71" t="s">
        <v>29</v>
      </c>
      <c r="M116" s="72" t="s">
        <v>30</v>
      </c>
    </row>
    <row r="117" ht="28.5" spans="1:13">
      <c r="A117" s="62">
        <v>24</v>
      </c>
      <c r="B117" s="64" t="s">
        <v>58</v>
      </c>
      <c r="C117" s="64" t="s">
        <v>51</v>
      </c>
      <c r="D117" s="66">
        <v>15</v>
      </c>
      <c r="E117" s="66">
        <v>20</v>
      </c>
      <c r="F117" s="66">
        <v>2840</v>
      </c>
      <c r="G117" s="67">
        <v>2.2</v>
      </c>
      <c r="H117" s="68">
        <v>2</v>
      </c>
      <c r="I117" s="69">
        <v>0.13</v>
      </c>
      <c r="J117" s="70">
        <v>1650</v>
      </c>
      <c r="K117" s="71">
        <f t="shared" si="1"/>
        <v>3300</v>
      </c>
      <c r="L117" s="71" t="s">
        <v>29</v>
      </c>
      <c r="M117" s="72" t="s">
        <v>30</v>
      </c>
    </row>
    <row r="118" ht="24" spans="1:13">
      <c r="A118" s="62"/>
      <c r="B118" s="63" t="s">
        <v>15</v>
      </c>
      <c r="C118" s="64" t="s">
        <v>31</v>
      </c>
      <c r="D118" s="74"/>
      <c r="E118" s="74"/>
      <c r="F118" s="74"/>
      <c r="G118" s="75"/>
      <c r="H118" s="62">
        <v>2</v>
      </c>
      <c r="I118" s="69">
        <v>0.13</v>
      </c>
      <c r="J118" s="70">
        <v>400</v>
      </c>
      <c r="K118" s="71">
        <f t="shared" si="1"/>
        <v>800</v>
      </c>
      <c r="L118" s="71" t="s">
        <v>29</v>
      </c>
      <c r="M118" s="72" t="s">
        <v>30</v>
      </c>
    </row>
    <row r="119" ht="24" spans="1:13">
      <c r="A119" s="62"/>
      <c r="B119" s="63" t="s">
        <v>17</v>
      </c>
      <c r="C119" s="64" t="s">
        <v>32</v>
      </c>
      <c r="D119" s="74"/>
      <c r="E119" s="74"/>
      <c r="F119" s="74"/>
      <c r="G119" s="75"/>
      <c r="H119" s="68">
        <v>2</v>
      </c>
      <c r="I119" s="69">
        <v>0.13</v>
      </c>
      <c r="J119" s="70">
        <v>285</v>
      </c>
      <c r="K119" s="71">
        <f t="shared" si="1"/>
        <v>570</v>
      </c>
      <c r="L119" s="71" t="s">
        <v>29</v>
      </c>
      <c r="M119" s="72" t="s">
        <v>30</v>
      </c>
    </row>
    <row r="120" ht="24" spans="1:13">
      <c r="A120" s="62"/>
      <c r="B120" s="63" t="s">
        <v>19</v>
      </c>
      <c r="C120" s="64" t="s">
        <v>33</v>
      </c>
      <c r="D120" s="74"/>
      <c r="E120" s="74"/>
      <c r="F120" s="74"/>
      <c r="G120" s="75"/>
      <c r="H120" s="68">
        <v>2</v>
      </c>
      <c r="I120" s="69">
        <v>0.13</v>
      </c>
      <c r="J120" s="70">
        <v>95</v>
      </c>
      <c r="K120" s="71">
        <f t="shared" si="1"/>
        <v>190</v>
      </c>
      <c r="L120" s="71" t="s">
        <v>29</v>
      </c>
      <c r="M120" s="72" t="s">
        <v>30</v>
      </c>
    </row>
    <row r="121" ht="24" spans="1:13">
      <c r="A121" s="62"/>
      <c r="B121" s="63" t="s">
        <v>23</v>
      </c>
      <c r="C121" s="64" t="s">
        <v>34</v>
      </c>
      <c r="D121" s="77"/>
      <c r="E121" s="77"/>
      <c r="F121" s="77"/>
      <c r="G121" s="78"/>
      <c r="H121" s="68">
        <v>2</v>
      </c>
      <c r="I121" s="69">
        <v>0.13</v>
      </c>
      <c r="J121" s="70">
        <v>70</v>
      </c>
      <c r="K121" s="71">
        <f t="shared" si="1"/>
        <v>140</v>
      </c>
      <c r="L121" s="71" t="s">
        <v>29</v>
      </c>
      <c r="M121" s="72" t="s">
        <v>30</v>
      </c>
    </row>
    <row r="122" ht="28.5" spans="1:13">
      <c r="A122" s="62">
        <v>25</v>
      </c>
      <c r="B122" s="64" t="s">
        <v>58</v>
      </c>
      <c r="C122" s="64" t="s">
        <v>59</v>
      </c>
      <c r="D122" s="66">
        <v>15</v>
      </c>
      <c r="E122" s="66">
        <v>25</v>
      </c>
      <c r="F122" s="66">
        <v>2840</v>
      </c>
      <c r="G122" s="67">
        <v>3</v>
      </c>
      <c r="H122" s="62">
        <v>2</v>
      </c>
      <c r="I122" s="69">
        <v>0.13</v>
      </c>
      <c r="J122" s="70">
        <v>2005</v>
      </c>
      <c r="K122" s="71">
        <f t="shared" si="1"/>
        <v>4010</v>
      </c>
      <c r="L122" s="71" t="s">
        <v>29</v>
      </c>
      <c r="M122" s="72" t="s">
        <v>30</v>
      </c>
    </row>
    <row r="123" ht="24" spans="1:13">
      <c r="A123" s="62"/>
      <c r="B123" s="63" t="s">
        <v>15</v>
      </c>
      <c r="C123" s="64" t="s">
        <v>31</v>
      </c>
      <c r="D123" s="74"/>
      <c r="E123" s="74"/>
      <c r="F123" s="74"/>
      <c r="G123" s="75"/>
      <c r="H123" s="62">
        <v>2</v>
      </c>
      <c r="I123" s="69">
        <v>0.13</v>
      </c>
      <c r="J123" s="70">
        <v>400</v>
      </c>
      <c r="K123" s="71">
        <f t="shared" si="1"/>
        <v>800</v>
      </c>
      <c r="L123" s="71" t="s">
        <v>29</v>
      </c>
      <c r="M123" s="72" t="s">
        <v>30</v>
      </c>
    </row>
    <row r="124" ht="24" spans="1:13">
      <c r="A124" s="62"/>
      <c r="B124" s="63" t="s">
        <v>17</v>
      </c>
      <c r="C124" s="64" t="s">
        <v>32</v>
      </c>
      <c r="D124" s="74"/>
      <c r="E124" s="74"/>
      <c r="F124" s="74"/>
      <c r="G124" s="75"/>
      <c r="H124" s="68">
        <v>2</v>
      </c>
      <c r="I124" s="69">
        <v>0.13</v>
      </c>
      <c r="J124" s="70">
        <v>285</v>
      </c>
      <c r="K124" s="71">
        <f t="shared" si="1"/>
        <v>570</v>
      </c>
      <c r="L124" s="71" t="s">
        <v>29</v>
      </c>
      <c r="M124" s="72" t="s">
        <v>30</v>
      </c>
    </row>
    <row r="125" ht="24" spans="1:13">
      <c r="A125" s="62"/>
      <c r="B125" s="63" t="s">
        <v>19</v>
      </c>
      <c r="C125" s="64" t="s">
        <v>33</v>
      </c>
      <c r="D125" s="74"/>
      <c r="E125" s="74"/>
      <c r="F125" s="74"/>
      <c r="G125" s="75"/>
      <c r="H125" s="68">
        <v>2</v>
      </c>
      <c r="I125" s="69">
        <v>0.13</v>
      </c>
      <c r="J125" s="70">
        <v>95</v>
      </c>
      <c r="K125" s="71">
        <f t="shared" si="1"/>
        <v>190</v>
      </c>
      <c r="L125" s="71" t="s">
        <v>29</v>
      </c>
      <c r="M125" s="72" t="s">
        <v>30</v>
      </c>
    </row>
    <row r="126" ht="24" spans="1:13">
      <c r="A126" s="62"/>
      <c r="B126" s="63" t="s">
        <v>23</v>
      </c>
      <c r="C126" s="64" t="s">
        <v>34</v>
      </c>
      <c r="D126" s="77"/>
      <c r="E126" s="77"/>
      <c r="F126" s="77"/>
      <c r="G126" s="78"/>
      <c r="H126" s="68">
        <v>2</v>
      </c>
      <c r="I126" s="69">
        <v>0.13</v>
      </c>
      <c r="J126" s="70">
        <v>70</v>
      </c>
      <c r="K126" s="71">
        <f t="shared" si="1"/>
        <v>140</v>
      </c>
      <c r="L126" s="71" t="s">
        <v>29</v>
      </c>
      <c r="M126" s="72" t="s">
        <v>30</v>
      </c>
    </row>
    <row r="127" ht="28.5" spans="1:13">
      <c r="A127" s="62">
        <v>26</v>
      </c>
      <c r="B127" s="64" t="s">
        <v>58</v>
      </c>
      <c r="C127" s="64" t="s">
        <v>59</v>
      </c>
      <c r="D127" s="66">
        <v>15</v>
      </c>
      <c r="E127" s="66">
        <v>25</v>
      </c>
      <c r="F127" s="66">
        <v>2840</v>
      </c>
      <c r="G127" s="67">
        <v>3</v>
      </c>
      <c r="H127" s="62">
        <v>2</v>
      </c>
      <c r="I127" s="69">
        <v>0.13</v>
      </c>
      <c r="J127" s="70">
        <v>2005</v>
      </c>
      <c r="K127" s="71">
        <f t="shared" si="1"/>
        <v>4010</v>
      </c>
      <c r="L127" s="71" t="s">
        <v>29</v>
      </c>
      <c r="M127" s="72" t="s">
        <v>30</v>
      </c>
    </row>
    <row r="128" ht="24" spans="1:13">
      <c r="A128" s="62"/>
      <c r="B128" s="63" t="s">
        <v>15</v>
      </c>
      <c r="C128" s="64" t="s">
        <v>31</v>
      </c>
      <c r="D128" s="74"/>
      <c r="E128" s="74"/>
      <c r="F128" s="74"/>
      <c r="G128" s="75"/>
      <c r="H128" s="62">
        <v>2</v>
      </c>
      <c r="I128" s="69">
        <v>0.13</v>
      </c>
      <c r="J128" s="70">
        <v>400</v>
      </c>
      <c r="K128" s="71">
        <f t="shared" si="1"/>
        <v>800</v>
      </c>
      <c r="L128" s="71" t="s">
        <v>29</v>
      </c>
      <c r="M128" s="72" t="s">
        <v>30</v>
      </c>
    </row>
    <row r="129" ht="24" spans="1:13">
      <c r="A129" s="62"/>
      <c r="B129" s="63" t="s">
        <v>17</v>
      </c>
      <c r="C129" s="64" t="s">
        <v>32</v>
      </c>
      <c r="D129" s="74"/>
      <c r="E129" s="74"/>
      <c r="F129" s="74"/>
      <c r="G129" s="75"/>
      <c r="H129" s="68">
        <v>2</v>
      </c>
      <c r="I129" s="69">
        <v>0.13</v>
      </c>
      <c r="J129" s="70">
        <v>285</v>
      </c>
      <c r="K129" s="71">
        <f t="shared" si="1"/>
        <v>570</v>
      </c>
      <c r="L129" s="71" t="s">
        <v>29</v>
      </c>
      <c r="M129" s="72" t="s">
        <v>30</v>
      </c>
    </row>
    <row r="130" ht="24" spans="1:13">
      <c r="A130" s="62"/>
      <c r="B130" s="63" t="s">
        <v>19</v>
      </c>
      <c r="C130" s="64" t="s">
        <v>33</v>
      </c>
      <c r="D130" s="74"/>
      <c r="E130" s="74"/>
      <c r="F130" s="74"/>
      <c r="G130" s="75"/>
      <c r="H130" s="68">
        <v>2</v>
      </c>
      <c r="I130" s="69">
        <v>0.13</v>
      </c>
      <c r="J130" s="70">
        <v>95</v>
      </c>
      <c r="K130" s="71">
        <f t="shared" ref="K130:K193" si="2">J130*H130</f>
        <v>190</v>
      </c>
      <c r="L130" s="71" t="s">
        <v>29</v>
      </c>
      <c r="M130" s="72" t="s">
        <v>30</v>
      </c>
    </row>
    <row r="131" ht="24" spans="1:13">
      <c r="A131" s="62"/>
      <c r="B131" s="63" t="s">
        <v>23</v>
      </c>
      <c r="C131" s="64" t="s">
        <v>34</v>
      </c>
      <c r="D131" s="77"/>
      <c r="E131" s="77"/>
      <c r="F131" s="77"/>
      <c r="G131" s="78"/>
      <c r="H131" s="68">
        <v>2</v>
      </c>
      <c r="I131" s="69">
        <v>0.13</v>
      </c>
      <c r="J131" s="70">
        <v>70</v>
      </c>
      <c r="K131" s="71">
        <f t="shared" si="2"/>
        <v>140</v>
      </c>
      <c r="L131" s="71" t="s">
        <v>29</v>
      </c>
      <c r="M131" s="72" t="s">
        <v>30</v>
      </c>
    </row>
    <row r="132" ht="28.5" spans="1:13">
      <c r="A132" s="62">
        <v>27</v>
      </c>
      <c r="B132" s="64" t="s">
        <v>58</v>
      </c>
      <c r="C132" s="64" t="s">
        <v>62</v>
      </c>
      <c r="D132" s="66">
        <v>25</v>
      </c>
      <c r="E132" s="66">
        <v>25</v>
      </c>
      <c r="F132" s="66">
        <v>2890</v>
      </c>
      <c r="G132" s="67">
        <v>4</v>
      </c>
      <c r="H132" s="68">
        <v>2</v>
      </c>
      <c r="I132" s="69">
        <v>0.13</v>
      </c>
      <c r="J132" s="70">
        <v>2330</v>
      </c>
      <c r="K132" s="71">
        <f t="shared" si="2"/>
        <v>4660</v>
      </c>
      <c r="L132" s="71" t="s">
        <v>29</v>
      </c>
      <c r="M132" s="72" t="s">
        <v>30</v>
      </c>
    </row>
    <row r="133" ht="24" spans="1:13">
      <c r="A133" s="62"/>
      <c r="B133" s="63" t="s">
        <v>15</v>
      </c>
      <c r="C133" s="64" t="s">
        <v>63</v>
      </c>
      <c r="D133" s="74"/>
      <c r="E133" s="74"/>
      <c r="F133" s="74"/>
      <c r="G133" s="75"/>
      <c r="H133" s="62">
        <v>2</v>
      </c>
      <c r="I133" s="69">
        <v>0.13</v>
      </c>
      <c r="J133" s="70">
        <v>500</v>
      </c>
      <c r="K133" s="71">
        <f t="shared" si="2"/>
        <v>1000</v>
      </c>
      <c r="L133" s="71" t="s">
        <v>29</v>
      </c>
      <c r="M133" s="72" t="s">
        <v>30</v>
      </c>
    </row>
    <row r="134" ht="24" spans="1:13">
      <c r="A134" s="62"/>
      <c r="B134" s="63" t="s">
        <v>17</v>
      </c>
      <c r="C134" s="64" t="s">
        <v>32</v>
      </c>
      <c r="D134" s="74"/>
      <c r="E134" s="74"/>
      <c r="F134" s="74"/>
      <c r="G134" s="75"/>
      <c r="H134" s="68">
        <v>2</v>
      </c>
      <c r="I134" s="69">
        <v>0.13</v>
      </c>
      <c r="J134" s="70">
        <v>285</v>
      </c>
      <c r="K134" s="71">
        <f t="shared" si="2"/>
        <v>570</v>
      </c>
      <c r="L134" s="71" t="s">
        <v>29</v>
      </c>
      <c r="M134" s="72" t="s">
        <v>30</v>
      </c>
    </row>
    <row r="135" ht="24" spans="1:13">
      <c r="A135" s="62"/>
      <c r="B135" s="63" t="s">
        <v>19</v>
      </c>
      <c r="C135" s="64" t="s">
        <v>33</v>
      </c>
      <c r="D135" s="74"/>
      <c r="E135" s="74"/>
      <c r="F135" s="74"/>
      <c r="G135" s="75"/>
      <c r="H135" s="68">
        <v>2</v>
      </c>
      <c r="I135" s="69">
        <v>0.13</v>
      </c>
      <c r="J135" s="70">
        <v>95</v>
      </c>
      <c r="K135" s="71">
        <f t="shared" si="2"/>
        <v>190</v>
      </c>
      <c r="L135" s="71" t="s">
        <v>29</v>
      </c>
      <c r="M135" s="72" t="s">
        <v>30</v>
      </c>
    </row>
    <row r="136" ht="24" spans="1:13">
      <c r="A136" s="62"/>
      <c r="B136" s="63" t="s">
        <v>23</v>
      </c>
      <c r="C136" s="64" t="s">
        <v>34</v>
      </c>
      <c r="D136" s="77"/>
      <c r="E136" s="77"/>
      <c r="F136" s="77"/>
      <c r="G136" s="78"/>
      <c r="H136" s="68">
        <v>2</v>
      </c>
      <c r="I136" s="69">
        <v>0.13</v>
      </c>
      <c r="J136" s="70">
        <v>70</v>
      </c>
      <c r="K136" s="71">
        <f t="shared" si="2"/>
        <v>140</v>
      </c>
      <c r="L136" s="71" t="s">
        <v>29</v>
      </c>
      <c r="M136" s="72" t="s">
        <v>30</v>
      </c>
    </row>
    <row r="137" ht="28.5" spans="1:13">
      <c r="A137" s="62">
        <v>28</v>
      </c>
      <c r="B137" s="64" t="s">
        <v>64</v>
      </c>
      <c r="C137" s="64" t="s">
        <v>65</v>
      </c>
      <c r="D137" s="66">
        <v>40</v>
      </c>
      <c r="E137" s="66">
        <v>30</v>
      </c>
      <c r="F137" s="66">
        <v>2900</v>
      </c>
      <c r="G137" s="67">
        <v>5.5</v>
      </c>
      <c r="H137" s="68">
        <v>2</v>
      </c>
      <c r="I137" s="69">
        <v>0.13</v>
      </c>
      <c r="J137" s="70">
        <v>3500</v>
      </c>
      <c r="K137" s="71">
        <f t="shared" si="2"/>
        <v>7000</v>
      </c>
      <c r="L137" s="71" t="s">
        <v>29</v>
      </c>
      <c r="M137" s="72" t="s">
        <v>30</v>
      </c>
    </row>
    <row r="138" ht="24" spans="1:13">
      <c r="A138" s="62"/>
      <c r="B138" s="63" t="s">
        <v>15</v>
      </c>
      <c r="C138" s="64" t="s">
        <v>63</v>
      </c>
      <c r="D138" s="74"/>
      <c r="E138" s="74"/>
      <c r="F138" s="74"/>
      <c r="G138" s="75"/>
      <c r="H138" s="62">
        <v>2</v>
      </c>
      <c r="I138" s="69">
        <v>0.13</v>
      </c>
      <c r="J138" s="70">
        <v>500</v>
      </c>
      <c r="K138" s="71">
        <f t="shared" si="2"/>
        <v>1000</v>
      </c>
      <c r="L138" s="71" t="s">
        <v>29</v>
      </c>
      <c r="M138" s="72" t="s">
        <v>30</v>
      </c>
    </row>
    <row r="139" ht="24" spans="1:13">
      <c r="A139" s="62"/>
      <c r="B139" s="63" t="s">
        <v>17</v>
      </c>
      <c r="C139" s="64" t="s">
        <v>32</v>
      </c>
      <c r="D139" s="74"/>
      <c r="E139" s="74"/>
      <c r="F139" s="74"/>
      <c r="G139" s="75"/>
      <c r="H139" s="68">
        <v>2</v>
      </c>
      <c r="I139" s="69">
        <v>0.13</v>
      </c>
      <c r="J139" s="70">
        <v>760</v>
      </c>
      <c r="K139" s="71">
        <f t="shared" si="2"/>
        <v>1520</v>
      </c>
      <c r="L139" s="71" t="s">
        <v>29</v>
      </c>
      <c r="M139" s="72" t="s">
        <v>30</v>
      </c>
    </row>
    <row r="140" ht="24" spans="1:13">
      <c r="A140" s="62"/>
      <c r="B140" s="63" t="s">
        <v>19</v>
      </c>
      <c r="C140" s="64" t="s">
        <v>33</v>
      </c>
      <c r="D140" s="74"/>
      <c r="E140" s="74"/>
      <c r="F140" s="74"/>
      <c r="G140" s="75"/>
      <c r="H140" s="68">
        <v>2</v>
      </c>
      <c r="I140" s="69">
        <v>0.13</v>
      </c>
      <c r="J140" s="70">
        <v>240</v>
      </c>
      <c r="K140" s="71">
        <f t="shared" si="2"/>
        <v>480</v>
      </c>
      <c r="L140" s="71" t="s">
        <v>29</v>
      </c>
      <c r="M140" s="72" t="s">
        <v>30</v>
      </c>
    </row>
    <row r="141" ht="24" spans="1:13">
      <c r="A141" s="62"/>
      <c r="B141" s="63" t="s">
        <v>23</v>
      </c>
      <c r="C141" s="64" t="s">
        <v>34</v>
      </c>
      <c r="D141" s="77"/>
      <c r="E141" s="77"/>
      <c r="F141" s="77"/>
      <c r="G141" s="78"/>
      <c r="H141" s="68">
        <v>2</v>
      </c>
      <c r="I141" s="69">
        <v>0.13</v>
      </c>
      <c r="J141" s="70">
        <v>70</v>
      </c>
      <c r="K141" s="71">
        <f t="shared" si="2"/>
        <v>140</v>
      </c>
      <c r="L141" s="71" t="s">
        <v>29</v>
      </c>
      <c r="M141" s="72" t="s">
        <v>30</v>
      </c>
    </row>
    <row r="142" ht="28.5" spans="1:13">
      <c r="A142" s="62">
        <v>29</v>
      </c>
      <c r="B142" s="64" t="s">
        <v>58</v>
      </c>
      <c r="C142" s="64" t="s">
        <v>62</v>
      </c>
      <c r="D142" s="66">
        <v>25</v>
      </c>
      <c r="E142" s="66">
        <v>25</v>
      </c>
      <c r="F142" s="66">
        <v>2890</v>
      </c>
      <c r="G142" s="67">
        <v>4</v>
      </c>
      <c r="H142" s="68">
        <v>2</v>
      </c>
      <c r="I142" s="69">
        <v>0.13</v>
      </c>
      <c r="J142" s="70">
        <v>2330</v>
      </c>
      <c r="K142" s="71">
        <f t="shared" si="2"/>
        <v>4660</v>
      </c>
      <c r="L142" s="71" t="s">
        <v>29</v>
      </c>
      <c r="M142" s="72" t="s">
        <v>30</v>
      </c>
    </row>
    <row r="143" ht="24" spans="1:13">
      <c r="A143" s="62"/>
      <c r="B143" s="63" t="s">
        <v>15</v>
      </c>
      <c r="C143" s="64" t="s">
        <v>63</v>
      </c>
      <c r="D143" s="74"/>
      <c r="E143" s="74"/>
      <c r="F143" s="74"/>
      <c r="G143" s="75"/>
      <c r="H143" s="62">
        <v>2</v>
      </c>
      <c r="I143" s="69">
        <v>0.13</v>
      </c>
      <c r="J143" s="70">
        <v>500</v>
      </c>
      <c r="K143" s="71">
        <f t="shared" si="2"/>
        <v>1000</v>
      </c>
      <c r="L143" s="71" t="s">
        <v>29</v>
      </c>
      <c r="M143" s="72" t="s">
        <v>30</v>
      </c>
    </row>
    <row r="144" ht="24" spans="1:13">
      <c r="A144" s="62"/>
      <c r="B144" s="63" t="s">
        <v>17</v>
      </c>
      <c r="C144" s="64" t="s">
        <v>32</v>
      </c>
      <c r="D144" s="74"/>
      <c r="E144" s="74"/>
      <c r="F144" s="74"/>
      <c r="G144" s="75"/>
      <c r="H144" s="68">
        <v>2</v>
      </c>
      <c r="I144" s="69">
        <v>0.13</v>
      </c>
      <c r="J144" s="70">
        <v>330</v>
      </c>
      <c r="K144" s="71">
        <f t="shared" si="2"/>
        <v>660</v>
      </c>
      <c r="L144" s="71" t="s">
        <v>29</v>
      </c>
      <c r="M144" s="72" t="s">
        <v>30</v>
      </c>
    </row>
    <row r="145" ht="24" spans="1:13">
      <c r="A145" s="62"/>
      <c r="B145" s="63" t="s">
        <v>19</v>
      </c>
      <c r="C145" s="64" t="s">
        <v>33</v>
      </c>
      <c r="D145" s="74"/>
      <c r="E145" s="74"/>
      <c r="F145" s="74"/>
      <c r="G145" s="75"/>
      <c r="H145" s="68">
        <v>2</v>
      </c>
      <c r="I145" s="69">
        <v>0.13</v>
      </c>
      <c r="J145" s="70">
        <v>105</v>
      </c>
      <c r="K145" s="71">
        <f t="shared" si="2"/>
        <v>210</v>
      </c>
      <c r="L145" s="71" t="s">
        <v>29</v>
      </c>
      <c r="M145" s="72" t="s">
        <v>30</v>
      </c>
    </row>
    <row r="146" ht="24" spans="1:13">
      <c r="A146" s="62"/>
      <c r="B146" s="63" t="s">
        <v>23</v>
      </c>
      <c r="C146" s="64" t="s">
        <v>34</v>
      </c>
      <c r="D146" s="77"/>
      <c r="E146" s="77"/>
      <c r="F146" s="77"/>
      <c r="G146" s="78"/>
      <c r="H146" s="68">
        <v>2</v>
      </c>
      <c r="I146" s="69">
        <v>0.13</v>
      </c>
      <c r="J146" s="70">
        <v>70</v>
      </c>
      <c r="K146" s="71">
        <f t="shared" si="2"/>
        <v>140</v>
      </c>
      <c r="L146" s="71" t="s">
        <v>29</v>
      </c>
      <c r="M146" s="72" t="s">
        <v>30</v>
      </c>
    </row>
    <row r="147" ht="28.5" spans="1:13">
      <c r="A147" s="62">
        <v>30</v>
      </c>
      <c r="B147" s="64" t="s">
        <v>60</v>
      </c>
      <c r="C147" s="64" t="s">
        <v>61</v>
      </c>
      <c r="D147" s="66">
        <v>10</v>
      </c>
      <c r="E147" s="66">
        <v>30</v>
      </c>
      <c r="F147" s="66">
        <v>2900</v>
      </c>
      <c r="G147" s="67">
        <v>3</v>
      </c>
      <c r="H147" s="68">
        <v>1</v>
      </c>
      <c r="I147" s="69">
        <v>0.13</v>
      </c>
      <c r="J147" s="70">
        <v>2265</v>
      </c>
      <c r="K147" s="71">
        <f t="shared" si="2"/>
        <v>2265</v>
      </c>
      <c r="L147" s="71" t="s">
        <v>29</v>
      </c>
      <c r="M147" s="72" t="s">
        <v>30</v>
      </c>
    </row>
    <row r="148" ht="24" spans="1:13">
      <c r="A148" s="62"/>
      <c r="B148" s="63" t="s">
        <v>15</v>
      </c>
      <c r="C148" s="64" t="s">
        <v>31</v>
      </c>
      <c r="D148" s="74"/>
      <c r="E148" s="74"/>
      <c r="F148" s="74"/>
      <c r="G148" s="75"/>
      <c r="H148" s="68">
        <v>1</v>
      </c>
      <c r="I148" s="69">
        <v>0.13</v>
      </c>
      <c r="J148" s="70">
        <v>400</v>
      </c>
      <c r="K148" s="71">
        <f t="shared" si="2"/>
        <v>400</v>
      </c>
      <c r="L148" s="71" t="s">
        <v>29</v>
      </c>
      <c r="M148" s="72" t="s">
        <v>30</v>
      </c>
    </row>
    <row r="149" ht="24" spans="1:13">
      <c r="A149" s="62"/>
      <c r="B149" s="63" t="s">
        <v>17</v>
      </c>
      <c r="C149" s="64" t="s">
        <v>32</v>
      </c>
      <c r="D149" s="74"/>
      <c r="E149" s="74"/>
      <c r="F149" s="74"/>
      <c r="G149" s="75"/>
      <c r="H149" s="68">
        <v>1</v>
      </c>
      <c r="I149" s="69">
        <v>0.13</v>
      </c>
      <c r="J149" s="70">
        <v>950</v>
      </c>
      <c r="K149" s="71">
        <f t="shared" si="2"/>
        <v>950</v>
      </c>
      <c r="L149" s="71" t="s">
        <v>29</v>
      </c>
      <c r="M149" s="72" t="s">
        <v>30</v>
      </c>
    </row>
    <row r="150" ht="24" spans="1:13">
      <c r="A150" s="62"/>
      <c r="B150" s="63" t="s">
        <v>19</v>
      </c>
      <c r="C150" s="64" t="s">
        <v>33</v>
      </c>
      <c r="D150" s="74"/>
      <c r="E150" s="74"/>
      <c r="F150" s="74"/>
      <c r="G150" s="75"/>
      <c r="H150" s="68">
        <v>1</v>
      </c>
      <c r="I150" s="69">
        <v>0.13</v>
      </c>
      <c r="J150" s="70">
        <v>300</v>
      </c>
      <c r="K150" s="71">
        <f t="shared" si="2"/>
        <v>300</v>
      </c>
      <c r="L150" s="71" t="s">
        <v>29</v>
      </c>
      <c r="M150" s="72" t="s">
        <v>30</v>
      </c>
    </row>
    <row r="151" ht="24" spans="1:13">
      <c r="A151" s="62"/>
      <c r="B151" s="63" t="s">
        <v>23</v>
      </c>
      <c r="C151" s="64" t="s">
        <v>34</v>
      </c>
      <c r="D151" s="77"/>
      <c r="E151" s="77"/>
      <c r="F151" s="77"/>
      <c r="G151" s="78"/>
      <c r="H151" s="68">
        <v>1</v>
      </c>
      <c r="I151" s="69">
        <v>0.13</v>
      </c>
      <c r="J151" s="70">
        <v>120</v>
      </c>
      <c r="K151" s="71">
        <f t="shared" si="2"/>
        <v>120</v>
      </c>
      <c r="L151" s="71" t="s">
        <v>29</v>
      </c>
      <c r="M151" s="72" t="s">
        <v>30</v>
      </c>
    </row>
    <row r="152" ht="28.5" spans="1:13">
      <c r="A152" s="62">
        <v>31</v>
      </c>
      <c r="B152" s="64" t="s">
        <v>58</v>
      </c>
      <c r="C152" s="64" t="s">
        <v>62</v>
      </c>
      <c r="D152" s="66">
        <v>25</v>
      </c>
      <c r="E152" s="66">
        <v>25</v>
      </c>
      <c r="F152" s="66">
        <v>2890</v>
      </c>
      <c r="G152" s="67">
        <v>4</v>
      </c>
      <c r="H152" s="68">
        <v>2</v>
      </c>
      <c r="I152" s="69">
        <v>0.13</v>
      </c>
      <c r="J152" s="70">
        <v>2330</v>
      </c>
      <c r="K152" s="71">
        <f t="shared" si="2"/>
        <v>4660</v>
      </c>
      <c r="L152" s="71" t="s">
        <v>29</v>
      </c>
      <c r="M152" s="72" t="s">
        <v>30</v>
      </c>
    </row>
    <row r="153" ht="24" spans="1:13">
      <c r="A153" s="62"/>
      <c r="B153" s="63" t="s">
        <v>15</v>
      </c>
      <c r="C153" s="64" t="s">
        <v>63</v>
      </c>
      <c r="D153" s="74"/>
      <c r="E153" s="74"/>
      <c r="F153" s="74"/>
      <c r="G153" s="75"/>
      <c r="H153" s="62">
        <v>2</v>
      </c>
      <c r="I153" s="69">
        <v>0.13</v>
      </c>
      <c r="J153" s="70">
        <v>500</v>
      </c>
      <c r="K153" s="71">
        <f t="shared" si="2"/>
        <v>1000</v>
      </c>
      <c r="L153" s="71" t="s">
        <v>29</v>
      </c>
      <c r="M153" s="72" t="s">
        <v>30</v>
      </c>
    </row>
    <row r="154" ht="24" spans="1:13">
      <c r="A154" s="62"/>
      <c r="B154" s="63" t="s">
        <v>17</v>
      </c>
      <c r="C154" s="64" t="s">
        <v>32</v>
      </c>
      <c r="D154" s="74"/>
      <c r="E154" s="74"/>
      <c r="F154" s="74"/>
      <c r="G154" s="75"/>
      <c r="H154" s="68">
        <v>2</v>
      </c>
      <c r="I154" s="69">
        <v>0.13</v>
      </c>
      <c r="J154" s="70">
        <v>330</v>
      </c>
      <c r="K154" s="71">
        <f t="shared" si="2"/>
        <v>660</v>
      </c>
      <c r="L154" s="71" t="s">
        <v>29</v>
      </c>
      <c r="M154" s="72" t="s">
        <v>30</v>
      </c>
    </row>
    <row r="155" ht="24" spans="1:13">
      <c r="A155" s="62"/>
      <c r="B155" s="63" t="s">
        <v>19</v>
      </c>
      <c r="C155" s="64" t="s">
        <v>33</v>
      </c>
      <c r="D155" s="74"/>
      <c r="E155" s="74"/>
      <c r="F155" s="74"/>
      <c r="G155" s="75"/>
      <c r="H155" s="68">
        <v>2</v>
      </c>
      <c r="I155" s="69">
        <v>0.13</v>
      </c>
      <c r="J155" s="70">
        <v>105</v>
      </c>
      <c r="K155" s="71">
        <f t="shared" si="2"/>
        <v>210</v>
      </c>
      <c r="L155" s="71" t="s">
        <v>29</v>
      </c>
      <c r="M155" s="72" t="s">
        <v>30</v>
      </c>
    </row>
    <row r="156" ht="24" spans="1:13">
      <c r="A156" s="62"/>
      <c r="B156" s="63" t="s">
        <v>23</v>
      </c>
      <c r="C156" s="64" t="s">
        <v>34</v>
      </c>
      <c r="D156" s="77"/>
      <c r="E156" s="77"/>
      <c r="F156" s="77"/>
      <c r="G156" s="78"/>
      <c r="H156" s="68">
        <v>2</v>
      </c>
      <c r="I156" s="69">
        <v>0.13</v>
      </c>
      <c r="J156" s="70">
        <v>70</v>
      </c>
      <c r="K156" s="71">
        <f t="shared" si="2"/>
        <v>140</v>
      </c>
      <c r="L156" s="71" t="s">
        <v>29</v>
      </c>
      <c r="M156" s="72" t="s">
        <v>30</v>
      </c>
    </row>
    <row r="157" ht="28.5" spans="1:13">
      <c r="A157" s="62">
        <v>32</v>
      </c>
      <c r="B157" s="64" t="s">
        <v>58</v>
      </c>
      <c r="C157" s="64" t="s">
        <v>62</v>
      </c>
      <c r="D157" s="66">
        <v>25</v>
      </c>
      <c r="E157" s="66">
        <v>25</v>
      </c>
      <c r="F157" s="66">
        <v>2890</v>
      </c>
      <c r="G157" s="67">
        <v>4</v>
      </c>
      <c r="H157" s="68">
        <v>2</v>
      </c>
      <c r="I157" s="69">
        <v>0.13</v>
      </c>
      <c r="J157" s="70">
        <v>2330</v>
      </c>
      <c r="K157" s="71">
        <f t="shared" si="2"/>
        <v>4660</v>
      </c>
      <c r="L157" s="71" t="s">
        <v>29</v>
      </c>
      <c r="M157" s="72" t="s">
        <v>30</v>
      </c>
    </row>
    <row r="158" ht="24" spans="1:13">
      <c r="A158" s="62"/>
      <c r="B158" s="63" t="s">
        <v>15</v>
      </c>
      <c r="C158" s="64" t="s">
        <v>63</v>
      </c>
      <c r="D158" s="74"/>
      <c r="E158" s="74"/>
      <c r="F158" s="74"/>
      <c r="G158" s="75"/>
      <c r="H158" s="62">
        <v>2</v>
      </c>
      <c r="I158" s="69">
        <v>0.13</v>
      </c>
      <c r="J158" s="70">
        <v>500</v>
      </c>
      <c r="K158" s="71">
        <f t="shared" si="2"/>
        <v>1000</v>
      </c>
      <c r="L158" s="71" t="s">
        <v>29</v>
      </c>
      <c r="M158" s="72" t="s">
        <v>30</v>
      </c>
    </row>
    <row r="159" ht="24" spans="1:13">
      <c r="A159" s="62"/>
      <c r="B159" s="63" t="s">
        <v>17</v>
      </c>
      <c r="C159" s="64" t="s">
        <v>32</v>
      </c>
      <c r="D159" s="74"/>
      <c r="E159" s="74"/>
      <c r="F159" s="74"/>
      <c r="G159" s="75"/>
      <c r="H159" s="68">
        <v>2</v>
      </c>
      <c r="I159" s="69">
        <v>0.13</v>
      </c>
      <c r="J159" s="70">
        <v>330</v>
      </c>
      <c r="K159" s="71">
        <f t="shared" si="2"/>
        <v>660</v>
      </c>
      <c r="L159" s="71" t="s">
        <v>29</v>
      </c>
      <c r="M159" s="72" t="s">
        <v>30</v>
      </c>
    </row>
    <row r="160" ht="24" spans="1:13">
      <c r="A160" s="62"/>
      <c r="B160" s="63" t="s">
        <v>19</v>
      </c>
      <c r="C160" s="64" t="s">
        <v>33</v>
      </c>
      <c r="D160" s="74"/>
      <c r="E160" s="74"/>
      <c r="F160" s="74"/>
      <c r="G160" s="75"/>
      <c r="H160" s="68">
        <v>2</v>
      </c>
      <c r="I160" s="69">
        <v>0.13</v>
      </c>
      <c r="J160" s="70">
        <v>105</v>
      </c>
      <c r="K160" s="71">
        <f t="shared" si="2"/>
        <v>210</v>
      </c>
      <c r="L160" s="71" t="s">
        <v>29</v>
      </c>
      <c r="M160" s="72" t="s">
        <v>30</v>
      </c>
    </row>
    <row r="161" ht="24" spans="1:13">
      <c r="A161" s="62"/>
      <c r="B161" s="63" t="s">
        <v>23</v>
      </c>
      <c r="C161" s="64" t="s">
        <v>34</v>
      </c>
      <c r="D161" s="77"/>
      <c r="E161" s="77"/>
      <c r="F161" s="77"/>
      <c r="G161" s="78"/>
      <c r="H161" s="68">
        <v>2</v>
      </c>
      <c r="I161" s="69">
        <v>0.13</v>
      </c>
      <c r="J161" s="70">
        <v>70</v>
      </c>
      <c r="K161" s="71">
        <f t="shared" si="2"/>
        <v>140</v>
      </c>
      <c r="L161" s="71" t="s">
        <v>29</v>
      </c>
      <c r="M161" s="72" t="s">
        <v>30</v>
      </c>
    </row>
    <row r="162" ht="28.5" spans="1:13">
      <c r="A162" s="62">
        <v>33</v>
      </c>
      <c r="B162" s="64" t="s">
        <v>60</v>
      </c>
      <c r="C162" s="64" t="s">
        <v>61</v>
      </c>
      <c r="D162" s="66">
        <v>10</v>
      </c>
      <c r="E162" s="66">
        <v>30</v>
      </c>
      <c r="F162" s="66">
        <v>2900</v>
      </c>
      <c r="G162" s="67">
        <v>3</v>
      </c>
      <c r="H162" s="68">
        <v>1</v>
      </c>
      <c r="I162" s="69">
        <v>0.13</v>
      </c>
      <c r="J162" s="70">
        <v>2265</v>
      </c>
      <c r="K162" s="71">
        <f t="shared" si="2"/>
        <v>2265</v>
      </c>
      <c r="L162" s="71" t="s">
        <v>29</v>
      </c>
      <c r="M162" s="72" t="s">
        <v>30</v>
      </c>
    </row>
    <row r="163" ht="24" spans="1:13">
      <c r="A163" s="62"/>
      <c r="B163" s="63" t="s">
        <v>15</v>
      </c>
      <c r="C163" s="64" t="s">
        <v>31</v>
      </c>
      <c r="D163" s="74"/>
      <c r="E163" s="74"/>
      <c r="F163" s="74"/>
      <c r="G163" s="75"/>
      <c r="H163" s="68">
        <v>1</v>
      </c>
      <c r="I163" s="69">
        <v>0.13</v>
      </c>
      <c r="J163" s="70">
        <v>400</v>
      </c>
      <c r="K163" s="71">
        <f t="shared" si="2"/>
        <v>400</v>
      </c>
      <c r="L163" s="71" t="s">
        <v>29</v>
      </c>
      <c r="M163" s="72" t="s">
        <v>30</v>
      </c>
    </row>
    <row r="164" ht="24" spans="1:13">
      <c r="A164" s="62"/>
      <c r="B164" s="63" t="s">
        <v>17</v>
      </c>
      <c r="C164" s="64" t="s">
        <v>32</v>
      </c>
      <c r="D164" s="74"/>
      <c r="E164" s="74"/>
      <c r="F164" s="74"/>
      <c r="G164" s="75"/>
      <c r="H164" s="68">
        <v>1</v>
      </c>
      <c r="I164" s="69">
        <v>0.13</v>
      </c>
      <c r="J164" s="70">
        <v>1150</v>
      </c>
      <c r="K164" s="71">
        <f t="shared" si="2"/>
        <v>1150</v>
      </c>
      <c r="L164" s="71" t="s">
        <v>29</v>
      </c>
      <c r="M164" s="72" t="s">
        <v>30</v>
      </c>
    </row>
    <row r="165" ht="24" spans="1:13">
      <c r="A165" s="62"/>
      <c r="B165" s="63" t="s">
        <v>19</v>
      </c>
      <c r="C165" s="64" t="s">
        <v>33</v>
      </c>
      <c r="D165" s="74"/>
      <c r="E165" s="74"/>
      <c r="F165" s="74"/>
      <c r="G165" s="75"/>
      <c r="H165" s="68">
        <v>1</v>
      </c>
      <c r="I165" s="69">
        <v>0.13</v>
      </c>
      <c r="J165" s="70">
        <v>360</v>
      </c>
      <c r="K165" s="71">
        <f t="shared" si="2"/>
        <v>360</v>
      </c>
      <c r="L165" s="71" t="s">
        <v>29</v>
      </c>
      <c r="M165" s="72" t="s">
        <v>30</v>
      </c>
    </row>
    <row r="166" ht="24" spans="1:13">
      <c r="A166" s="62"/>
      <c r="B166" s="63" t="s">
        <v>23</v>
      </c>
      <c r="C166" s="64" t="s">
        <v>34</v>
      </c>
      <c r="D166" s="77"/>
      <c r="E166" s="77"/>
      <c r="F166" s="77"/>
      <c r="G166" s="78"/>
      <c r="H166" s="68">
        <v>1</v>
      </c>
      <c r="I166" s="69">
        <v>0.13</v>
      </c>
      <c r="J166" s="70">
        <v>120</v>
      </c>
      <c r="K166" s="71">
        <f t="shared" si="2"/>
        <v>120</v>
      </c>
      <c r="L166" s="71" t="s">
        <v>29</v>
      </c>
      <c r="M166" s="72" t="s">
        <v>30</v>
      </c>
    </row>
    <row r="167" ht="28.5" spans="1:13">
      <c r="A167" s="62">
        <v>34</v>
      </c>
      <c r="B167" s="64" t="s">
        <v>64</v>
      </c>
      <c r="C167" s="64" t="s">
        <v>65</v>
      </c>
      <c r="D167" s="66">
        <v>40</v>
      </c>
      <c r="E167" s="66">
        <v>30</v>
      </c>
      <c r="F167" s="66">
        <v>2900</v>
      </c>
      <c r="G167" s="67">
        <v>5.5</v>
      </c>
      <c r="H167" s="68">
        <v>2</v>
      </c>
      <c r="I167" s="69">
        <v>0.13</v>
      </c>
      <c r="J167" s="70">
        <v>3500</v>
      </c>
      <c r="K167" s="71">
        <f t="shared" si="2"/>
        <v>7000</v>
      </c>
      <c r="L167" s="71" t="s">
        <v>29</v>
      </c>
      <c r="M167" s="72" t="s">
        <v>30</v>
      </c>
    </row>
    <row r="168" ht="24" spans="1:13">
      <c r="A168" s="62"/>
      <c r="B168" s="63" t="s">
        <v>15</v>
      </c>
      <c r="C168" s="64" t="s">
        <v>63</v>
      </c>
      <c r="D168" s="74"/>
      <c r="E168" s="74"/>
      <c r="F168" s="74"/>
      <c r="G168" s="75"/>
      <c r="H168" s="62">
        <v>2</v>
      </c>
      <c r="I168" s="69">
        <v>0.13</v>
      </c>
      <c r="J168" s="70">
        <v>500</v>
      </c>
      <c r="K168" s="71">
        <f t="shared" si="2"/>
        <v>1000</v>
      </c>
      <c r="L168" s="71" t="s">
        <v>29</v>
      </c>
      <c r="M168" s="72" t="s">
        <v>30</v>
      </c>
    </row>
    <row r="169" ht="24" spans="1:13">
      <c r="A169" s="62"/>
      <c r="B169" s="63" t="s">
        <v>17</v>
      </c>
      <c r="C169" s="64" t="s">
        <v>32</v>
      </c>
      <c r="D169" s="74"/>
      <c r="E169" s="74"/>
      <c r="F169" s="74"/>
      <c r="G169" s="75"/>
      <c r="H169" s="68">
        <v>2</v>
      </c>
      <c r="I169" s="69">
        <v>0.13</v>
      </c>
      <c r="J169" s="70">
        <v>860</v>
      </c>
      <c r="K169" s="71">
        <f t="shared" si="2"/>
        <v>1720</v>
      </c>
      <c r="L169" s="71" t="s">
        <v>29</v>
      </c>
      <c r="M169" s="72" t="s">
        <v>30</v>
      </c>
    </row>
    <row r="170" ht="24" spans="1:13">
      <c r="A170" s="62"/>
      <c r="B170" s="63" t="s">
        <v>19</v>
      </c>
      <c r="C170" s="64" t="s">
        <v>33</v>
      </c>
      <c r="D170" s="74"/>
      <c r="E170" s="74"/>
      <c r="F170" s="74"/>
      <c r="G170" s="75"/>
      <c r="H170" s="68">
        <v>2</v>
      </c>
      <c r="I170" s="69">
        <v>0.13</v>
      </c>
      <c r="J170" s="70">
        <v>270</v>
      </c>
      <c r="K170" s="71">
        <f t="shared" si="2"/>
        <v>540</v>
      </c>
      <c r="L170" s="71" t="s">
        <v>29</v>
      </c>
      <c r="M170" s="72" t="s">
        <v>30</v>
      </c>
    </row>
    <row r="171" ht="24" spans="1:13">
      <c r="A171" s="62"/>
      <c r="B171" s="63" t="s">
        <v>23</v>
      </c>
      <c r="C171" s="64" t="s">
        <v>34</v>
      </c>
      <c r="D171" s="77"/>
      <c r="E171" s="77"/>
      <c r="F171" s="77"/>
      <c r="G171" s="78"/>
      <c r="H171" s="68">
        <v>2</v>
      </c>
      <c r="I171" s="69">
        <v>0.13</v>
      </c>
      <c r="J171" s="70">
        <v>120</v>
      </c>
      <c r="K171" s="71">
        <f t="shared" si="2"/>
        <v>240</v>
      </c>
      <c r="L171" s="71" t="s">
        <v>29</v>
      </c>
      <c r="M171" s="72" t="s">
        <v>30</v>
      </c>
    </row>
    <row r="172" ht="28.5" spans="1:13">
      <c r="A172" s="62">
        <v>35</v>
      </c>
      <c r="B172" s="64" t="s">
        <v>58</v>
      </c>
      <c r="C172" s="64" t="s">
        <v>62</v>
      </c>
      <c r="D172" s="66">
        <v>25</v>
      </c>
      <c r="E172" s="66">
        <v>25</v>
      </c>
      <c r="F172" s="66">
        <v>2890</v>
      </c>
      <c r="G172" s="67">
        <v>4</v>
      </c>
      <c r="H172" s="68">
        <v>2</v>
      </c>
      <c r="I172" s="69">
        <v>0.13</v>
      </c>
      <c r="J172" s="70">
        <v>2330</v>
      </c>
      <c r="K172" s="71">
        <f t="shared" si="2"/>
        <v>4660</v>
      </c>
      <c r="L172" s="71" t="s">
        <v>29</v>
      </c>
      <c r="M172" s="72" t="s">
        <v>30</v>
      </c>
    </row>
    <row r="173" ht="24" spans="1:13">
      <c r="A173" s="62"/>
      <c r="B173" s="63" t="s">
        <v>15</v>
      </c>
      <c r="C173" s="64" t="s">
        <v>63</v>
      </c>
      <c r="D173" s="74"/>
      <c r="E173" s="74"/>
      <c r="F173" s="74"/>
      <c r="G173" s="75"/>
      <c r="H173" s="62">
        <v>2</v>
      </c>
      <c r="I173" s="69">
        <v>0.13</v>
      </c>
      <c r="J173" s="70">
        <v>500</v>
      </c>
      <c r="K173" s="71">
        <f t="shared" si="2"/>
        <v>1000</v>
      </c>
      <c r="L173" s="71" t="s">
        <v>29</v>
      </c>
      <c r="M173" s="72" t="s">
        <v>30</v>
      </c>
    </row>
    <row r="174" ht="24" spans="1:13">
      <c r="A174" s="62"/>
      <c r="B174" s="63" t="s">
        <v>17</v>
      </c>
      <c r="C174" s="64" t="s">
        <v>32</v>
      </c>
      <c r="D174" s="74"/>
      <c r="E174" s="74"/>
      <c r="F174" s="74"/>
      <c r="G174" s="75"/>
      <c r="H174" s="68">
        <v>2</v>
      </c>
      <c r="I174" s="69">
        <v>0.13</v>
      </c>
      <c r="J174" s="70">
        <v>330</v>
      </c>
      <c r="K174" s="71">
        <f t="shared" si="2"/>
        <v>660</v>
      </c>
      <c r="L174" s="71" t="s">
        <v>29</v>
      </c>
      <c r="M174" s="72" t="s">
        <v>30</v>
      </c>
    </row>
    <row r="175" ht="24" spans="1:13">
      <c r="A175" s="62"/>
      <c r="B175" s="63" t="s">
        <v>19</v>
      </c>
      <c r="C175" s="64" t="s">
        <v>33</v>
      </c>
      <c r="D175" s="74"/>
      <c r="E175" s="74"/>
      <c r="F175" s="74"/>
      <c r="G175" s="75"/>
      <c r="H175" s="68">
        <v>2</v>
      </c>
      <c r="I175" s="69">
        <v>0.13</v>
      </c>
      <c r="J175" s="70">
        <v>105</v>
      </c>
      <c r="K175" s="71">
        <f t="shared" si="2"/>
        <v>210</v>
      </c>
      <c r="L175" s="71" t="s">
        <v>29</v>
      </c>
      <c r="M175" s="72" t="s">
        <v>30</v>
      </c>
    </row>
    <row r="176" ht="24" spans="1:13">
      <c r="A176" s="62"/>
      <c r="B176" s="63" t="s">
        <v>23</v>
      </c>
      <c r="C176" s="64" t="s">
        <v>34</v>
      </c>
      <c r="D176" s="77"/>
      <c r="E176" s="77"/>
      <c r="F176" s="77"/>
      <c r="G176" s="78"/>
      <c r="H176" s="68">
        <v>2</v>
      </c>
      <c r="I176" s="69">
        <v>0.13</v>
      </c>
      <c r="J176" s="70">
        <v>70</v>
      </c>
      <c r="K176" s="71">
        <f t="shared" si="2"/>
        <v>140</v>
      </c>
      <c r="L176" s="71" t="s">
        <v>29</v>
      </c>
      <c r="M176" s="72" t="s">
        <v>30</v>
      </c>
    </row>
    <row r="177" ht="28.5" spans="1:13">
      <c r="A177" s="62">
        <v>36</v>
      </c>
      <c r="B177" s="64" t="s">
        <v>58</v>
      </c>
      <c r="C177" s="64" t="s">
        <v>62</v>
      </c>
      <c r="D177" s="66">
        <v>25</v>
      </c>
      <c r="E177" s="66">
        <v>25</v>
      </c>
      <c r="F177" s="66">
        <v>2890</v>
      </c>
      <c r="G177" s="67">
        <v>4</v>
      </c>
      <c r="H177" s="68">
        <v>2</v>
      </c>
      <c r="I177" s="69">
        <v>0.13</v>
      </c>
      <c r="J177" s="70">
        <v>2330</v>
      </c>
      <c r="K177" s="71">
        <f t="shared" si="2"/>
        <v>4660</v>
      </c>
      <c r="L177" s="71" t="s">
        <v>29</v>
      </c>
      <c r="M177" s="72" t="s">
        <v>30</v>
      </c>
    </row>
    <row r="178" ht="24" spans="1:13">
      <c r="A178" s="62"/>
      <c r="B178" s="63" t="s">
        <v>15</v>
      </c>
      <c r="C178" s="64" t="s">
        <v>63</v>
      </c>
      <c r="D178" s="74"/>
      <c r="E178" s="74"/>
      <c r="F178" s="74"/>
      <c r="G178" s="75"/>
      <c r="H178" s="62">
        <v>2</v>
      </c>
      <c r="I178" s="69">
        <v>0.13</v>
      </c>
      <c r="J178" s="70">
        <v>500</v>
      </c>
      <c r="K178" s="71">
        <f t="shared" si="2"/>
        <v>1000</v>
      </c>
      <c r="L178" s="71" t="s">
        <v>29</v>
      </c>
      <c r="M178" s="72" t="s">
        <v>30</v>
      </c>
    </row>
    <row r="179" ht="24" spans="1:13">
      <c r="A179" s="62"/>
      <c r="B179" s="63" t="s">
        <v>17</v>
      </c>
      <c r="C179" s="64" t="s">
        <v>32</v>
      </c>
      <c r="D179" s="74"/>
      <c r="E179" s="74"/>
      <c r="F179" s="74"/>
      <c r="G179" s="75"/>
      <c r="H179" s="68">
        <v>2</v>
      </c>
      <c r="I179" s="69">
        <v>0.13</v>
      </c>
      <c r="J179" s="70">
        <v>330</v>
      </c>
      <c r="K179" s="71">
        <f t="shared" si="2"/>
        <v>660</v>
      </c>
      <c r="L179" s="71" t="s">
        <v>29</v>
      </c>
      <c r="M179" s="72" t="s">
        <v>30</v>
      </c>
    </row>
    <row r="180" ht="24" spans="1:13">
      <c r="A180" s="62"/>
      <c r="B180" s="63" t="s">
        <v>19</v>
      </c>
      <c r="C180" s="64" t="s">
        <v>33</v>
      </c>
      <c r="D180" s="74"/>
      <c r="E180" s="74"/>
      <c r="F180" s="74"/>
      <c r="G180" s="75"/>
      <c r="H180" s="68">
        <v>2</v>
      </c>
      <c r="I180" s="69">
        <v>0.13</v>
      </c>
      <c r="J180" s="70">
        <v>105</v>
      </c>
      <c r="K180" s="71">
        <f t="shared" si="2"/>
        <v>210</v>
      </c>
      <c r="L180" s="71" t="s">
        <v>29</v>
      </c>
      <c r="M180" s="72" t="s">
        <v>30</v>
      </c>
    </row>
    <row r="181" ht="24" spans="1:13">
      <c r="A181" s="62"/>
      <c r="B181" s="63" t="s">
        <v>23</v>
      </c>
      <c r="C181" s="64" t="s">
        <v>34</v>
      </c>
      <c r="D181" s="77"/>
      <c r="E181" s="77"/>
      <c r="F181" s="77"/>
      <c r="G181" s="78"/>
      <c r="H181" s="68">
        <v>2</v>
      </c>
      <c r="I181" s="69">
        <v>0.13</v>
      </c>
      <c r="J181" s="70">
        <v>70</v>
      </c>
      <c r="K181" s="71">
        <f t="shared" si="2"/>
        <v>140</v>
      </c>
      <c r="L181" s="71" t="s">
        <v>29</v>
      </c>
      <c r="M181" s="72" t="s">
        <v>30</v>
      </c>
    </row>
    <row r="182" ht="28.5" spans="1:13">
      <c r="A182" s="62">
        <v>37</v>
      </c>
      <c r="B182" s="64" t="s">
        <v>58</v>
      </c>
      <c r="C182" s="64" t="s">
        <v>62</v>
      </c>
      <c r="D182" s="66">
        <v>25</v>
      </c>
      <c r="E182" s="66">
        <v>25</v>
      </c>
      <c r="F182" s="66">
        <v>2890</v>
      </c>
      <c r="G182" s="67">
        <v>4</v>
      </c>
      <c r="H182" s="68">
        <v>2</v>
      </c>
      <c r="I182" s="69">
        <v>0.13</v>
      </c>
      <c r="J182" s="70">
        <v>2330</v>
      </c>
      <c r="K182" s="71">
        <f t="shared" si="2"/>
        <v>4660</v>
      </c>
      <c r="L182" s="71" t="s">
        <v>29</v>
      </c>
      <c r="M182" s="72" t="s">
        <v>30</v>
      </c>
    </row>
    <row r="183" ht="24" spans="1:13">
      <c r="A183" s="62"/>
      <c r="B183" s="63" t="s">
        <v>15</v>
      </c>
      <c r="C183" s="64" t="s">
        <v>63</v>
      </c>
      <c r="D183" s="74"/>
      <c r="E183" s="74"/>
      <c r="F183" s="74"/>
      <c r="G183" s="75"/>
      <c r="H183" s="62">
        <v>2</v>
      </c>
      <c r="I183" s="69">
        <v>0.13</v>
      </c>
      <c r="J183" s="70">
        <v>500</v>
      </c>
      <c r="K183" s="71">
        <f t="shared" si="2"/>
        <v>1000</v>
      </c>
      <c r="L183" s="71" t="s">
        <v>29</v>
      </c>
      <c r="M183" s="72" t="s">
        <v>30</v>
      </c>
    </row>
    <row r="184" ht="24" spans="1:13">
      <c r="A184" s="62"/>
      <c r="B184" s="63" t="s">
        <v>17</v>
      </c>
      <c r="C184" s="64" t="s">
        <v>32</v>
      </c>
      <c r="D184" s="74"/>
      <c r="E184" s="74"/>
      <c r="F184" s="74"/>
      <c r="G184" s="75"/>
      <c r="H184" s="68">
        <v>2</v>
      </c>
      <c r="I184" s="69">
        <v>0.13</v>
      </c>
      <c r="J184" s="70">
        <v>330</v>
      </c>
      <c r="K184" s="71">
        <f t="shared" si="2"/>
        <v>660</v>
      </c>
      <c r="L184" s="71" t="s">
        <v>29</v>
      </c>
      <c r="M184" s="72" t="s">
        <v>30</v>
      </c>
    </row>
    <row r="185" ht="24" spans="1:13">
      <c r="A185" s="62"/>
      <c r="B185" s="63" t="s">
        <v>19</v>
      </c>
      <c r="C185" s="64" t="s">
        <v>33</v>
      </c>
      <c r="D185" s="74"/>
      <c r="E185" s="74"/>
      <c r="F185" s="74"/>
      <c r="G185" s="75"/>
      <c r="H185" s="68">
        <v>2</v>
      </c>
      <c r="I185" s="69">
        <v>0.13</v>
      </c>
      <c r="J185" s="70">
        <v>105</v>
      </c>
      <c r="K185" s="71">
        <f t="shared" si="2"/>
        <v>210</v>
      </c>
      <c r="L185" s="71" t="s">
        <v>29</v>
      </c>
      <c r="M185" s="72" t="s">
        <v>30</v>
      </c>
    </row>
    <row r="186" ht="24" spans="1:13">
      <c r="A186" s="62"/>
      <c r="B186" s="63" t="s">
        <v>23</v>
      </c>
      <c r="C186" s="64" t="s">
        <v>34</v>
      </c>
      <c r="D186" s="77"/>
      <c r="E186" s="77"/>
      <c r="F186" s="77"/>
      <c r="G186" s="78"/>
      <c r="H186" s="68">
        <v>2</v>
      </c>
      <c r="I186" s="69">
        <v>0.13</v>
      </c>
      <c r="J186" s="70">
        <v>70</v>
      </c>
      <c r="K186" s="71">
        <f t="shared" si="2"/>
        <v>140</v>
      </c>
      <c r="L186" s="71" t="s">
        <v>29</v>
      </c>
      <c r="M186" s="72" t="s">
        <v>30</v>
      </c>
    </row>
    <row r="187" ht="28.5" spans="1:13">
      <c r="A187" s="62">
        <v>38</v>
      </c>
      <c r="B187" s="64" t="s">
        <v>60</v>
      </c>
      <c r="C187" s="64" t="s">
        <v>61</v>
      </c>
      <c r="D187" s="66">
        <v>10</v>
      </c>
      <c r="E187" s="66">
        <v>30</v>
      </c>
      <c r="F187" s="66">
        <v>2900</v>
      </c>
      <c r="G187" s="67">
        <v>3</v>
      </c>
      <c r="H187" s="68">
        <v>1</v>
      </c>
      <c r="I187" s="69">
        <v>0.13</v>
      </c>
      <c r="J187" s="70">
        <v>2265</v>
      </c>
      <c r="K187" s="71">
        <f t="shared" si="2"/>
        <v>2265</v>
      </c>
      <c r="L187" s="71" t="s">
        <v>29</v>
      </c>
      <c r="M187" s="72" t="s">
        <v>30</v>
      </c>
    </row>
    <row r="188" ht="24" spans="1:13">
      <c r="A188" s="62"/>
      <c r="B188" s="63" t="s">
        <v>15</v>
      </c>
      <c r="C188" s="64" t="s">
        <v>31</v>
      </c>
      <c r="D188" s="74"/>
      <c r="E188" s="74"/>
      <c r="F188" s="74"/>
      <c r="G188" s="75"/>
      <c r="H188" s="68">
        <v>1</v>
      </c>
      <c r="I188" s="69">
        <v>0.13</v>
      </c>
      <c r="J188" s="70">
        <v>400</v>
      </c>
      <c r="K188" s="71">
        <f t="shared" si="2"/>
        <v>400</v>
      </c>
      <c r="L188" s="71" t="s">
        <v>29</v>
      </c>
      <c r="M188" s="72" t="s">
        <v>30</v>
      </c>
    </row>
    <row r="189" ht="24" spans="1:13">
      <c r="A189" s="62"/>
      <c r="B189" s="63" t="s">
        <v>17</v>
      </c>
      <c r="C189" s="64" t="s">
        <v>32</v>
      </c>
      <c r="D189" s="74"/>
      <c r="E189" s="74"/>
      <c r="F189" s="74"/>
      <c r="G189" s="75"/>
      <c r="H189" s="68">
        <v>1</v>
      </c>
      <c r="I189" s="69">
        <v>0.13</v>
      </c>
      <c r="J189" s="70">
        <v>950</v>
      </c>
      <c r="K189" s="71">
        <f t="shared" si="2"/>
        <v>950</v>
      </c>
      <c r="L189" s="71" t="s">
        <v>29</v>
      </c>
      <c r="M189" s="72" t="s">
        <v>30</v>
      </c>
    </row>
    <row r="190" ht="24" spans="1:13">
      <c r="A190" s="62"/>
      <c r="B190" s="63" t="s">
        <v>19</v>
      </c>
      <c r="C190" s="64" t="s">
        <v>33</v>
      </c>
      <c r="D190" s="74"/>
      <c r="E190" s="74"/>
      <c r="F190" s="74"/>
      <c r="G190" s="75"/>
      <c r="H190" s="68">
        <v>1</v>
      </c>
      <c r="I190" s="69">
        <v>0.13</v>
      </c>
      <c r="J190" s="70">
        <v>300</v>
      </c>
      <c r="K190" s="71">
        <f t="shared" si="2"/>
        <v>300</v>
      </c>
      <c r="L190" s="71" t="s">
        <v>29</v>
      </c>
      <c r="M190" s="72" t="s">
        <v>30</v>
      </c>
    </row>
    <row r="191" ht="24" spans="1:13">
      <c r="A191" s="62"/>
      <c r="B191" s="63" t="s">
        <v>23</v>
      </c>
      <c r="C191" s="64" t="s">
        <v>34</v>
      </c>
      <c r="D191" s="77"/>
      <c r="E191" s="77"/>
      <c r="F191" s="77"/>
      <c r="G191" s="78"/>
      <c r="H191" s="68">
        <v>1</v>
      </c>
      <c r="I191" s="69">
        <v>0.13</v>
      </c>
      <c r="J191" s="70">
        <v>120</v>
      </c>
      <c r="K191" s="71">
        <f t="shared" si="2"/>
        <v>120</v>
      </c>
      <c r="L191" s="71" t="s">
        <v>29</v>
      </c>
      <c r="M191" s="72" t="s">
        <v>30</v>
      </c>
    </row>
    <row r="192" ht="28.5" spans="1:13">
      <c r="A192" s="62">
        <v>39</v>
      </c>
      <c r="B192" s="64" t="s">
        <v>58</v>
      </c>
      <c r="C192" s="64" t="s">
        <v>62</v>
      </c>
      <c r="D192" s="66">
        <v>25</v>
      </c>
      <c r="E192" s="66">
        <v>25</v>
      </c>
      <c r="F192" s="66">
        <v>2890</v>
      </c>
      <c r="G192" s="67">
        <v>4</v>
      </c>
      <c r="H192" s="68">
        <v>2</v>
      </c>
      <c r="I192" s="69">
        <v>0.13</v>
      </c>
      <c r="J192" s="70">
        <v>2330</v>
      </c>
      <c r="K192" s="71">
        <f t="shared" si="2"/>
        <v>4660</v>
      </c>
      <c r="L192" s="71" t="s">
        <v>29</v>
      </c>
      <c r="M192" s="72" t="s">
        <v>30</v>
      </c>
    </row>
    <row r="193" ht="24" spans="1:13">
      <c r="A193" s="62"/>
      <c r="B193" s="63" t="s">
        <v>15</v>
      </c>
      <c r="C193" s="64" t="s">
        <v>63</v>
      </c>
      <c r="D193" s="74"/>
      <c r="E193" s="74"/>
      <c r="F193" s="74"/>
      <c r="G193" s="75"/>
      <c r="H193" s="62">
        <v>2</v>
      </c>
      <c r="I193" s="69">
        <v>0.13</v>
      </c>
      <c r="J193" s="70">
        <v>500</v>
      </c>
      <c r="K193" s="71">
        <f t="shared" si="2"/>
        <v>1000</v>
      </c>
      <c r="L193" s="71" t="s">
        <v>29</v>
      </c>
      <c r="M193" s="72" t="s">
        <v>30</v>
      </c>
    </row>
    <row r="194" ht="24" spans="1:13">
      <c r="A194" s="62"/>
      <c r="B194" s="63" t="s">
        <v>17</v>
      </c>
      <c r="C194" s="64" t="s">
        <v>32</v>
      </c>
      <c r="D194" s="74"/>
      <c r="E194" s="74"/>
      <c r="F194" s="74"/>
      <c r="G194" s="75"/>
      <c r="H194" s="68">
        <v>2</v>
      </c>
      <c r="I194" s="69">
        <v>0.13</v>
      </c>
      <c r="J194" s="70">
        <v>330</v>
      </c>
      <c r="K194" s="71">
        <f t="shared" ref="K194:K226" si="3">J194*H194</f>
        <v>660</v>
      </c>
      <c r="L194" s="71" t="s">
        <v>29</v>
      </c>
      <c r="M194" s="72" t="s">
        <v>30</v>
      </c>
    </row>
    <row r="195" ht="24" spans="1:13">
      <c r="A195" s="62"/>
      <c r="B195" s="63" t="s">
        <v>19</v>
      </c>
      <c r="C195" s="64" t="s">
        <v>34</v>
      </c>
      <c r="D195" s="74"/>
      <c r="E195" s="74"/>
      <c r="F195" s="74"/>
      <c r="G195" s="75"/>
      <c r="H195" s="68">
        <v>2</v>
      </c>
      <c r="I195" s="69">
        <v>0.13</v>
      </c>
      <c r="J195" s="70">
        <v>105</v>
      </c>
      <c r="K195" s="71">
        <f t="shared" si="3"/>
        <v>210</v>
      </c>
      <c r="L195" s="71" t="s">
        <v>29</v>
      </c>
      <c r="M195" s="72" t="s">
        <v>30</v>
      </c>
    </row>
    <row r="196" ht="24" spans="1:13">
      <c r="A196" s="62"/>
      <c r="B196" s="63" t="s">
        <v>23</v>
      </c>
      <c r="C196" s="64" t="s">
        <v>34</v>
      </c>
      <c r="D196" s="77"/>
      <c r="E196" s="77"/>
      <c r="F196" s="77"/>
      <c r="G196" s="78"/>
      <c r="H196" s="68">
        <v>2</v>
      </c>
      <c r="I196" s="69">
        <v>0.13</v>
      </c>
      <c r="J196" s="70">
        <v>70</v>
      </c>
      <c r="K196" s="71">
        <f t="shared" si="3"/>
        <v>140</v>
      </c>
      <c r="L196" s="71" t="s">
        <v>29</v>
      </c>
      <c r="M196" s="72" t="s">
        <v>30</v>
      </c>
    </row>
    <row r="197" ht="28.5" spans="1:13">
      <c r="A197" s="62">
        <v>40</v>
      </c>
      <c r="B197" s="64" t="s">
        <v>58</v>
      </c>
      <c r="C197" s="64" t="s">
        <v>62</v>
      </c>
      <c r="D197" s="66">
        <v>25</v>
      </c>
      <c r="E197" s="66">
        <v>25</v>
      </c>
      <c r="F197" s="66">
        <v>2890</v>
      </c>
      <c r="G197" s="67">
        <v>4</v>
      </c>
      <c r="H197" s="68">
        <v>2</v>
      </c>
      <c r="I197" s="69">
        <v>0.13</v>
      </c>
      <c r="J197" s="70">
        <v>2330</v>
      </c>
      <c r="K197" s="71">
        <f t="shared" si="3"/>
        <v>4660</v>
      </c>
      <c r="L197" s="71" t="s">
        <v>29</v>
      </c>
      <c r="M197" s="72" t="s">
        <v>30</v>
      </c>
    </row>
    <row r="198" ht="24" spans="1:13">
      <c r="A198" s="62"/>
      <c r="B198" s="63" t="s">
        <v>15</v>
      </c>
      <c r="C198" s="64" t="s">
        <v>63</v>
      </c>
      <c r="D198" s="74"/>
      <c r="E198" s="74"/>
      <c r="F198" s="74"/>
      <c r="G198" s="75"/>
      <c r="H198" s="62">
        <v>2</v>
      </c>
      <c r="I198" s="69">
        <v>0.13</v>
      </c>
      <c r="J198" s="70">
        <v>500</v>
      </c>
      <c r="K198" s="71">
        <f t="shared" si="3"/>
        <v>1000</v>
      </c>
      <c r="L198" s="71" t="s">
        <v>29</v>
      </c>
      <c r="M198" s="72" t="s">
        <v>30</v>
      </c>
    </row>
    <row r="199" ht="24" spans="1:13">
      <c r="A199" s="62"/>
      <c r="B199" s="63" t="s">
        <v>17</v>
      </c>
      <c r="C199" s="64" t="s">
        <v>32</v>
      </c>
      <c r="D199" s="74"/>
      <c r="E199" s="74"/>
      <c r="F199" s="74"/>
      <c r="G199" s="75"/>
      <c r="H199" s="68">
        <v>2</v>
      </c>
      <c r="I199" s="69">
        <v>0.13</v>
      </c>
      <c r="J199" s="70">
        <v>330</v>
      </c>
      <c r="K199" s="71">
        <f t="shared" si="3"/>
        <v>660</v>
      </c>
      <c r="L199" s="71" t="s">
        <v>29</v>
      </c>
      <c r="M199" s="72" t="s">
        <v>30</v>
      </c>
    </row>
    <row r="200" ht="24" spans="1:13">
      <c r="A200" s="62"/>
      <c r="B200" s="63" t="s">
        <v>19</v>
      </c>
      <c r="C200" s="64" t="s">
        <v>33</v>
      </c>
      <c r="D200" s="74"/>
      <c r="E200" s="74"/>
      <c r="F200" s="74"/>
      <c r="G200" s="75"/>
      <c r="H200" s="68">
        <v>2</v>
      </c>
      <c r="I200" s="69">
        <v>0.13</v>
      </c>
      <c r="J200" s="70">
        <v>105</v>
      </c>
      <c r="K200" s="71">
        <f t="shared" si="3"/>
        <v>210</v>
      </c>
      <c r="L200" s="71" t="s">
        <v>29</v>
      </c>
      <c r="M200" s="72" t="s">
        <v>30</v>
      </c>
    </row>
    <row r="201" ht="24" spans="1:13">
      <c r="A201" s="62"/>
      <c r="B201" s="63" t="s">
        <v>23</v>
      </c>
      <c r="C201" s="64" t="s">
        <v>34</v>
      </c>
      <c r="D201" s="77"/>
      <c r="E201" s="77"/>
      <c r="F201" s="77"/>
      <c r="G201" s="78"/>
      <c r="H201" s="68">
        <v>2</v>
      </c>
      <c r="I201" s="69">
        <v>0.13</v>
      </c>
      <c r="J201" s="70">
        <v>70</v>
      </c>
      <c r="K201" s="71">
        <f t="shared" si="3"/>
        <v>140</v>
      </c>
      <c r="L201" s="71" t="s">
        <v>29</v>
      </c>
      <c r="M201" s="72" t="s">
        <v>30</v>
      </c>
    </row>
    <row r="202" ht="28.5" spans="1:13">
      <c r="A202" s="62">
        <v>41</v>
      </c>
      <c r="B202" s="64" t="s">
        <v>66</v>
      </c>
      <c r="C202" s="64" t="s">
        <v>65</v>
      </c>
      <c r="D202" s="66">
        <v>40</v>
      </c>
      <c r="E202" s="66">
        <v>30</v>
      </c>
      <c r="F202" s="66">
        <v>2900</v>
      </c>
      <c r="G202" s="67">
        <v>5.5</v>
      </c>
      <c r="H202" s="68">
        <v>3</v>
      </c>
      <c r="I202" s="69">
        <v>0.13</v>
      </c>
      <c r="J202" s="70">
        <v>3500</v>
      </c>
      <c r="K202" s="71">
        <f t="shared" si="3"/>
        <v>10500</v>
      </c>
      <c r="L202" s="71" t="s">
        <v>29</v>
      </c>
      <c r="M202" s="72" t="s">
        <v>30</v>
      </c>
    </row>
    <row r="203" ht="24" spans="1:13">
      <c r="A203" s="62"/>
      <c r="B203" s="63" t="s">
        <v>15</v>
      </c>
      <c r="C203" s="64" t="s">
        <v>63</v>
      </c>
      <c r="D203" s="74"/>
      <c r="E203" s="74"/>
      <c r="F203" s="74"/>
      <c r="G203" s="75"/>
      <c r="H203" s="62">
        <v>3</v>
      </c>
      <c r="I203" s="69">
        <v>0.13</v>
      </c>
      <c r="J203" s="70">
        <v>500</v>
      </c>
      <c r="K203" s="71">
        <f t="shared" si="3"/>
        <v>1500</v>
      </c>
      <c r="L203" s="71" t="s">
        <v>29</v>
      </c>
      <c r="M203" s="72" t="s">
        <v>30</v>
      </c>
    </row>
    <row r="204" ht="24" spans="1:13">
      <c r="A204" s="62"/>
      <c r="B204" s="63" t="s">
        <v>17</v>
      </c>
      <c r="C204" s="64" t="s">
        <v>32</v>
      </c>
      <c r="D204" s="74"/>
      <c r="E204" s="74"/>
      <c r="F204" s="74"/>
      <c r="G204" s="75"/>
      <c r="H204" s="68">
        <v>3</v>
      </c>
      <c r="I204" s="69">
        <v>0.13</v>
      </c>
      <c r="J204" s="70">
        <v>330</v>
      </c>
      <c r="K204" s="71">
        <f t="shared" si="3"/>
        <v>990</v>
      </c>
      <c r="L204" s="71" t="s">
        <v>29</v>
      </c>
      <c r="M204" s="72" t="s">
        <v>30</v>
      </c>
    </row>
    <row r="205" ht="24" spans="1:13">
      <c r="A205" s="62"/>
      <c r="B205" s="63" t="s">
        <v>19</v>
      </c>
      <c r="C205" s="64" t="s">
        <v>33</v>
      </c>
      <c r="D205" s="74"/>
      <c r="E205" s="74"/>
      <c r="F205" s="74"/>
      <c r="G205" s="75"/>
      <c r="H205" s="68">
        <v>3</v>
      </c>
      <c r="I205" s="69">
        <v>0.13</v>
      </c>
      <c r="J205" s="70">
        <v>105</v>
      </c>
      <c r="K205" s="71">
        <f t="shared" si="3"/>
        <v>315</v>
      </c>
      <c r="L205" s="71" t="s">
        <v>29</v>
      </c>
      <c r="M205" s="72" t="s">
        <v>30</v>
      </c>
    </row>
    <row r="206" ht="24" spans="1:13">
      <c r="A206" s="62"/>
      <c r="B206" s="63" t="s">
        <v>23</v>
      </c>
      <c r="C206" s="64" t="s">
        <v>34</v>
      </c>
      <c r="D206" s="77"/>
      <c r="E206" s="77"/>
      <c r="F206" s="77"/>
      <c r="G206" s="78"/>
      <c r="H206" s="68">
        <v>3</v>
      </c>
      <c r="I206" s="69">
        <v>0.13</v>
      </c>
      <c r="J206" s="70">
        <v>70</v>
      </c>
      <c r="K206" s="71">
        <f t="shared" si="3"/>
        <v>210</v>
      </c>
      <c r="L206" s="71" t="s">
        <v>29</v>
      </c>
      <c r="M206" s="72" t="s">
        <v>30</v>
      </c>
    </row>
    <row r="207" ht="28.5" spans="1:13">
      <c r="A207" s="62">
        <v>42</v>
      </c>
      <c r="B207" s="64" t="s">
        <v>58</v>
      </c>
      <c r="C207" s="64" t="s">
        <v>62</v>
      </c>
      <c r="D207" s="66">
        <v>25</v>
      </c>
      <c r="E207" s="66">
        <v>25</v>
      </c>
      <c r="F207" s="66">
        <v>2890</v>
      </c>
      <c r="G207" s="67">
        <v>4</v>
      </c>
      <c r="H207" s="68">
        <v>2</v>
      </c>
      <c r="I207" s="69">
        <v>0.13</v>
      </c>
      <c r="J207" s="70">
        <v>2330</v>
      </c>
      <c r="K207" s="71">
        <f t="shared" si="3"/>
        <v>4660</v>
      </c>
      <c r="L207" s="71" t="s">
        <v>29</v>
      </c>
      <c r="M207" s="72" t="s">
        <v>30</v>
      </c>
    </row>
    <row r="208" ht="24" spans="1:13">
      <c r="A208" s="62"/>
      <c r="B208" s="63" t="s">
        <v>15</v>
      </c>
      <c r="C208" s="64" t="s">
        <v>63</v>
      </c>
      <c r="D208" s="74"/>
      <c r="E208" s="74"/>
      <c r="F208" s="74"/>
      <c r="G208" s="75"/>
      <c r="H208" s="62">
        <v>2</v>
      </c>
      <c r="I208" s="69">
        <v>0.13</v>
      </c>
      <c r="J208" s="70">
        <v>500</v>
      </c>
      <c r="K208" s="71">
        <f t="shared" si="3"/>
        <v>1000</v>
      </c>
      <c r="L208" s="71" t="s">
        <v>29</v>
      </c>
      <c r="M208" s="72" t="s">
        <v>30</v>
      </c>
    </row>
    <row r="209" ht="24" spans="1:13">
      <c r="A209" s="62"/>
      <c r="B209" s="63" t="s">
        <v>17</v>
      </c>
      <c r="C209" s="64" t="s">
        <v>32</v>
      </c>
      <c r="D209" s="74"/>
      <c r="E209" s="74"/>
      <c r="F209" s="74"/>
      <c r="G209" s="75"/>
      <c r="H209" s="68">
        <v>2</v>
      </c>
      <c r="I209" s="69">
        <v>0.13</v>
      </c>
      <c r="J209" s="70">
        <v>330</v>
      </c>
      <c r="K209" s="71">
        <f t="shared" si="3"/>
        <v>660</v>
      </c>
      <c r="L209" s="71" t="s">
        <v>29</v>
      </c>
      <c r="M209" s="72" t="s">
        <v>30</v>
      </c>
    </row>
    <row r="210" ht="24" spans="1:13">
      <c r="A210" s="62"/>
      <c r="B210" s="63" t="s">
        <v>19</v>
      </c>
      <c r="C210" s="64" t="s">
        <v>33</v>
      </c>
      <c r="D210" s="74"/>
      <c r="E210" s="74"/>
      <c r="F210" s="74"/>
      <c r="G210" s="75"/>
      <c r="H210" s="68">
        <v>2</v>
      </c>
      <c r="I210" s="69">
        <v>0.13</v>
      </c>
      <c r="J210" s="70">
        <v>105</v>
      </c>
      <c r="K210" s="71">
        <f t="shared" si="3"/>
        <v>210</v>
      </c>
      <c r="L210" s="71" t="s">
        <v>29</v>
      </c>
      <c r="M210" s="72" t="s">
        <v>30</v>
      </c>
    </row>
    <row r="211" ht="24" spans="1:13">
      <c r="A211" s="62"/>
      <c r="B211" s="63" t="s">
        <v>23</v>
      </c>
      <c r="C211" s="64" t="s">
        <v>34</v>
      </c>
      <c r="D211" s="77"/>
      <c r="E211" s="77"/>
      <c r="F211" s="77"/>
      <c r="G211" s="78"/>
      <c r="H211" s="68">
        <v>2</v>
      </c>
      <c r="I211" s="69">
        <v>0.13</v>
      </c>
      <c r="J211" s="70">
        <v>70</v>
      </c>
      <c r="K211" s="71">
        <f t="shared" si="3"/>
        <v>140</v>
      </c>
      <c r="L211" s="71" t="s">
        <v>29</v>
      </c>
      <c r="M211" s="72" t="s">
        <v>30</v>
      </c>
    </row>
    <row r="212" ht="28.5" spans="1:13">
      <c r="A212" s="62">
        <v>43</v>
      </c>
      <c r="B212" s="64" t="s">
        <v>58</v>
      </c>
      <c r="C212" s="64" t="s">
        <v>62</v>
      </c>
      <c r="D212" s="66">
        <v>25</v>
      </c>
      <c r="E212" s="66">
        <v>25</v>
      </c>
      <c r="F212" s="66">
        <v>2890</v>
      </c>
      <c r="G212" s="67">
        <v>4</v>
      </c>
      <c r="H212" s="68">
        <v>2</v>
      </c>
      <c r="I212" s="69">
        <v>0.13</v>
      </c>
      <c r="J212" s="70">
        <v>2330</v>
      </c>
      <c r="K212" s="71">
        <f t="shared" si="3"/>
        <v>4660</v>
      </c>
      <c r="L212" s="71" t="s">
        <v>29</v>
      </c>
      <c r="M212" s="72" t="s">
        <v>30</v>
      </c>
    </row>
    <row r="213" ht="24" spans="1:13">
      <c r="A213" s="62"/>
      <c r="B213" s="63" t="s">
        <v>15</v>
      </c>
      <c r="C213" s="64" t="s">
        <v>63</v>
      </c>
      <c r="D213" s="74"/>
      <c r="E213" s="74"/>
      <c r="F213" s="74"/>
      <c r="G213" s="75"/>
      <c r="H213" s="62">
        <v>2</v>
      </c>
      <c r="I213" s="69">
        <v>0.13</v>
      </c>
      <c r="J213" s="70">
        <v>500</v>
      </c>
      <c r="K213" s="71">
        <f t="shared" si="3"/>
        <v>1000</v>
      </c>
      <c r="L213" s="71" t="s">
        <v>29</v>
      </c>
      <c r="M213" s="72" t="s">
        <v>30</v>
      </c>
    </row>
    <row r="214" ht="24" spans="1:13">
      <c r="A214" s="62"/>
      <c r="B214" s="63" t="s">
        <v>17</v>
      </c>
      <c r="C214" s="64" t="s">
        <v>32</v>
      </c>
      <c r="D214" s="74"/>
      <c r="E214" s="74"/>
      <c r="F214" s="74"/>
      <c r="G214" s="75"/>
      <c r="H214" s="68">
        <v>2</v>
      </c>
      <c r="I214" s="69">
        <v>0.13</v>
      </c>
      <c r="J214" s="70">
        <v>330</v>
      </c>
      <c r="K214" s="71">
        <f t="shared" si="3"/>
        <v>660</v>
      </c>
      <c r="L214" s="71" t="s">
        <v>29</v>
      </c>
      <c r="M214" s="72" t="s">
        <v>30</v>
      </c>
    </row>
    <row r="215" ht="24" spans="1:13">
      <c r="A215" s="62"/>
      <c r="B215" s="63" t="s">
        <v>19</v>
      </c>
      <c r="C215" s="64" t="s">
        <v>33</v>
      </c>
      <c r="D215" s="74"/>
      <c r="E215" s="74"/>
      <c r="F215" s="74"/>
      <c r="G215" s="75"/>
      <c r="H215" s="62">
        <v>2</v>
      </c>
      <c r="I215" s="69">
        <v>0.13</v>
      </c>
      <c r="J215" s="70">
        <v>105</v>
      </c>
      <c r="K215" s="71">
        <f t="shared" si="3"/>
        <v>210</v>
      </c>
      <c r="L215" s="71" t="s">
        <v>29</v>
      </c>
      <c r="M215" s="72" t="s">
        <v>30</v>
      </c>
    </row>
    <row r="216" ht="24" spans="1:13">
      <c r="A216" s="62"/>
      <c r="B216" s="63" t="s">
        <v>23</v>
      </c>
      <c r="C216" s="64" t="s">
        <v>34</v>
      </c>
      <c r="D216" s="77"/>
      <c r="E216" s="77"/>
      <c r="F216" s="77"/>
      <c r="G216" s="78"/>
      <c r="H216" s="68">
        <v>2</v>
      </c>
      <c r="I216" s="69">
        <v>0.13</v>
      </c>
      <c r="J216" s="70">
        <v>70</v>
      </c>
      <c r="K216" s="71">
        <f t="shared" si="3"/>
        <v>140</v>
      </c>
      <c r="L216" s="71" t="s">
        <v>29</v>
      </c>
      <c r="M216" s="72" t="s">
        <v>30</v>
      </c>
    </row>
    <row r="217" ht="28.5" spans="1:13">
      <c r="A217" s="62">
        <v>44</v>
      </c>
      <c r="B217" s="64" t="s">
        <v>64</v>
      </c>
      <c r="C217" s="64" t="s">
        <v>65</v>
      </c>
      <c r="D217" s="66">
        <v>40</v>
      </c>
      <c r="E217" s="66">
        <v>30</v>
      </c>
      <c r="F217" s="66">
        <v>2900</v>
      </c>
      <c r="G217" s="67">
        <v>5.5</v>
      </c>
      <c r="H217" s="68">
        <v>2</v>
      </c>
      <c r="I217" s="69">
        <v>0.13</v>
      </c>
      <c r="J217" s="70">
        <v>3500</v>
      </c>
      <c r="K217" s="71">
        <f t="shared" si="3"/>
        <v>7000</v>
      </c>
      <c r="L217" s="71" t="s">
        <v>29</v>
      </c>
      <c r="M217" s="72" t="s">
        <v>30</v>
      </c>
    </row>
    <row r="218" ht="24" spans="1:13">
      <c r="A218" s="62"/>
      <c r="B218" s="63" t="s">
        <v>15</v>
      </c>
      <c r="C218" s="64" t="s">
        <v>63</v>
      </c>
      <c r="D218" s="74"/>
      <c r="E218" s="74"/>
      <c r="F218" s="74"/>
      <c r="G218" s="75"/>
      <c r="H218" s="62">
        <v>2</v>
      </c>
      <c r="I218" s="69">
        <v>0.13</v>
      </c>
      <c r="J218" s="70">
        <v>500</v>
      </c>
      <c r="K218" s="71">
        <f t="shared" si="3"/>
        <v>1000</v>
      </c>
      <c r="L218" s="71" t="s">
        <v>29</v>
      </c>
      <c r="M218" s="72" t="s">
        <v>30</v>
      </c>
    </row>
    <row r="219" ht="24" spans="1:13">
      <c r="A219" s="62"/>
      <c r="B219" s="63" t="s">
        <v>17</v>
      </c>
      <c r="C219" s="64" t="s">
        <v>32</v>
      </c>
      <c r="D219" s="74"/>
      <c r="E219" s="74"/>
      <c r="F219" s="74"/>
      <c r="G219" s="75"/>
      <c r="H219" s="68">
        <v>2</v>
      </c>
      <c r="I219" s="69">
        <v>0.13</v>
      </c>
      <c r="J219" s="70">
        <v>760</v>
      </c>
      <c r="K219" s="71">
        <f t="shared" si="3"/>
        <v>1520</v>
      </c>
      <c r="L219" s="71" t="s">
        <v>29</v>
      </c>
      <c r="M219" s="72" t="s">
        <v>30</v>
      </c>
    </row>
    <row r="220" ht="24" spans="1:13">
      <c r="A220" s="62"/>
      <c r="B220" s="63" t="s">
        <v>19</v>
      </c>
      <c r="C220" s="64" t="s">
        <v>33</v>
      </c>
      <c r="D220" s="74"/>
      <c r="E220" s="74"/>
      <c r="F220" s="74"/>
      <c r="G220" s="75"/>
      <c r="H220" s="68">
        <v>2</v>
      </c>
      <c r="I220" s="69">
        <v>0.13</v>
      </c>
      <c r="J220" s="70">
        <v>240</v>
      </c>
      <c r="K220" s="71">
        <f t="shared" si="3"/>
        <v>480</v>
      </c>
      <c r="L220" s="71" t="s">
        <v>29</v>
      </c>
      <c r="M220" s="72" t="s">
        <v>30</v>
      </c>
    </row>
    <row r="221" ht="24" spans="1:13">
      <c r="A221" s="62"/>
      <c r="B221" s="63" t="s">
        <v>23</v>
      </c>
      <c r="C221" s="64" t="s">
        <v>34</v>
      </c>
      <c r="D221" s="77"/>
      <c r="E221" s="77"/>
      <c r="F221" s="77"/>
      <c r="G221" s="78"/>
      <c r="H221" s="68">
        <v>2</v>
      </c>
      <c r="I221" s="69">
        <v>0.13</v>
      </c>
      <c r="J221" s="70">
        <v>120</v>
      </c>
      <c r="K221" s="71">
        <f t="shared" si="3"/>
        <v>240</v>
      </c>
      <c r="L221" s="71" t="s">
        <v>29</v>
      </c>
      <c r="M221" s="72" t="s">
        <v>30</v>
      </c>
    </row>
    <row r="222" ht="24" spans="1:13">
      <c r="A222" s="62">
        <v>45</v>
      </c>
      <c r="B222" s="79" t="s">
        <v>67</v>
      </c>
      <c r="C222" s="64" t="s">
        <v>68</v>
      </c>
      <c r="D222" s="66">
        <v>12</v>
      </c>
      <c r="E222" s="66">
        <v>22</v>
      </c>
      <c r="F222" s="66">
        <v>2840</v>
      </c>
      <c r="G222" s="67">
        <v>2.2</v>
      </c>
      <c r="H222" s="68">
        <v>1</v>
      </c>
      <c r="I222" s="69">
        <v>0.13</v>
      </c>
      <c r="J222" s="70">
        <v>1600</v>
      </c>
      <c r="K222" s="71">
        <f t="shared" si="3"/>
        <v>1600</v>
      </c>
      <c r="L222" s="71" t="s">
        <v>29</v>
      </c>
      <c r="M222" s="72" t="s">
        <v>30</v>
      </c>
    </row>
    <row r="223" ht="24" spans="1:13">
      <c r="A223" s="62"/>
      <c r="B223" s="63" t="s">
        <v>15</v>
      </c>
      <c r="C223" s="64" t="s">
        <v>31</v>
      </c>
      <c r="D223" s="74"/>
      <c r="E223" s="74"/>
      <c r="F223" s="74"/>
      <c r="G223" s="75"/>
      <c r="H223" s="68">
        <v>1</v>
      </c>
      <c r="I223" s="69">
        <v>0.13</v>
      </c>
      <c r="J223" s="70">
        <v>400</v>
      </c>
      <c r="K223" s="71">
        <f t="shared" si="3"/>
        <v>400</v>
      </c>
      <c r="L223" s="71" t="s">
        <v>29</v>
      </c>
      <c r="M223" s="72" t="s">
        <v>30</v>
      </c>
    </row>
    <row r="224" ht="24" spans="1:13">
      <c r="A224" s="62"/>
      <c r="B224" s="63" t="s">
        <v>17</v>
      </c>
      <c r="C224" s="64" t="s">
        <v>32</v>
      </c>
      <c r="D224" s="74"/>
      <c r="E224" s="74"/>
      <c r="F224" s="74"/>
      <c r="G224" s="75"/>
      <c r="H224" s="68">
        <v>1</v>
      </c>
      <c r="I224" s="69">
        <v>0.13</v>
      </c>
      <c r="J224" s="70">
        <v>330</v>
      </c>
      <c r="K224" s="71">
        <f t="shared" si="3"/>
        <v>330</v>
      </c>
      <c r="L224" s="71" t="s">
        <v>29</v>
      </c>
      <c r="M224" s="72" t="s">
        <v>30</v>
      </c>
    </row>
    <row r="225" ht="24" spans="1:13">
      <c r="A225" s="62"/>
      <c r="B225" s="63" t="s">
        <v>19</v>
      </c>
      <c r="C225" s="64" t="s">
        <v>33</v>
      </c>
      <c r="D225" s="74"/>
      <c r="E225" s="74"/>
      <c r="F225" s="74"/>
      <c r="G225" s="75"/>
      <c r="H225" s="68">
        <v>1</v>
      </c>
      <c r="I225" s="69">
        <v>0.13</v>
      </c>
      <c r="J225" s="70">
        <v>105</v>
      </c>
      <c r="K225" s="71">
        <f t="shared" si="3"/>
        <v>105</v>
      </c>
      <c r="L225" s="71" t="s">
        <v>29</v>
      </c>
      <c r="M225" s="72" t="s">
        <v>30</v>
      </c>
    </row>
    <row r="226" ht="24" spans="1:13">
      <c r="A226" s="62"/>
      <c r="B226" s="63" t="s">
        <v>23</v>
      </c>
      <c r="C226" s="64" t="s">
        <v>34</v>
      </c>
      <c r="D226" s="77"/>
      <c r="E226" s="77"/>
      <c r="F226" s="77"/>
      <c r="G226" s="78"/>
      <c r="H226" s="68">
        <v>1</v>
      </c>
      <c r="I226" s="69">
        <v>0.13</v>
      </c>
      <c r="J226" s="70">
        <v>70</v>
      </c>
      <c r="K226" s="71">
        <f t="shared" si="3"/>
        <v>70</v>
      </c>
      <c r="L226" s="71" t="s">
        <v>29</v>
      </c>
      <c r="M226" s="72" t="s">
        <v>30</v>
      </c>
    </row>
  </sheetData>
  <mergeCells count="225"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A142:A146"/>
    <mergeCell ref="A147:A151"/>
    <mergeCell ref="A152:A156"/>
    <mergeCell ref="A157:A161"/>
    <mergeCell ref="A162:A166"/>
    <mergeCell ref="A167:A171"/>
    <mergeCell ref="A172:A176"/>
    <mergeCell ref="A177:A181"/>
    <mergeCell ref="A182:A186"/>
    <mergeCell ref="A187:A191"/>
    <mergeCell ref="A192:A196"/>
    <mergeCell ref="A197:A201"/>
    <mergeCell ref="A202:A206"/>
    <mergeCell ref="A207:A211"/>
    <mergeCell ref="A212:A216"/>
    <mergeCell ref="A217:A221"/>
    <mergeCell ref="A222:A226"/>
    <mergeCell ref="D2:D6"/>
    <mergeCell ref="D7:D11"/>
    <mergeCell ref="D12:D16"/>
    <mergeCell ref="D17:D21"/>
    <mergeCell ref="D22:D26"/>
    <mergeCell ref="D27:D31"/>
    <mergeCell ref="D32:D36"/>
    <mergeCell ref="D37:D41"/>
    <mergeCell ref="D42:D46"/>
    <mergeCell ref="D47:D51"/>
    <mergeCell ref="D52:D56"/>
    <mergeCell ref="D57:D61"/>
    <mergeCell ref="D62:D66"/>
    <mergeCell ref="D67:D71"/>
    <mergeCell ref="D72:D76"/>
    <mergeCell ref="D77:D81"/>
    <mergeCell ref="D82:D86"/>
    <mergeCell ref="D87:D91"/>
    <mergeCell ref="D92:D96"/>
    <mergeCell ref="D97:D101"/>
    <mergeCell ref="D102:D106"/>
    <mergeCell ref="D107:D111"/>
    <mergeCell ref="D112:D116"/>
    <mergeCell ref="D117:D121"/>
    <mergeCell ref="D122:D126"/>
    <mergeCell ref="D127:D131"/>
    <mergeCell ref="D132:D136"/>
    <mergeCell ref="D137:D141"/>
    <mergeCell ref="D142:D146"/>
    <mergeCell ref="D147:D151"/>
    <mergeCell ref="D152:D156"/>
    <mergeCell ref="D157:D161"/>
    <mergeCell ref="D162:D166"/>
    <mergeCell ref="D167:D171"/>
    <mergeCell ref="D172:D176"/>
    <mergeCell ref="D177:D181"/>
    <mergeCell ref="D182:D186"/>
    <mergeCell ref="D187:D191"/>
    <mergeCell ref="D192:D196"/>
    <mergeCell ref="D197:D201"/>
    <mergeCell ref="D202:D206"/>
    <mergeCell ref="D207:D211"/>
    <mergeCell ref="D212:D216"/>
    <mergeCell ref="D217:D221"/>
    <mergeCell ref="D222:D226"/>
    <mergeCell ref="E2:E6"/>
    <mergeCell ref="E7:E11"/>
    <mergeCell ref="E12:E16"/>
    <mergeCell ref="E17:E21"/>
    <mergeCell ref="E22:E26"/>
    <mergeCell ref="E27:E31"/>
    <mergeCell ref="E32:E36"/>
    <mergeCell ref="E37:E41"/>
    <mergeCell ref="E42:E46"/>
    <mergeCell ref="E47:E51"/>
    <mergeCell ref="E52:E56"/>
    <mergeCell ref="E57:E61"/>
    <mergeCell ref="E62:E66"/>
    <mergeCell ref="E67:E71"/>
    <mergeCell ref="E72:E76"/>
    <mergeCell ref="E77:E81"/>
    <mergeCell ref="E82:E86"/>
    <mergeCell ref="E87:E91"/>
    <mergeCell ref="E92:E96"/>
    <mergeCell ref="E97:E101"/>
    <mergeCell ref="E102:E106"/>
    <mergeCell ref="E107:E111"/>
    <mergeCell ref="E112:E116"/>
    <mergeCell ref="E117:E121"/>
    <mergeCell ref="E122:E126"/>
    <mergeCell ref="E127:E131"/>
    <mergeCell ref="E132:E136"/>
    <mergeCell ref="E137:E141"/>
    <mergeCell ref="E142:E146"/>
    <mergeCell ref="E147:E151"/>
    <mergeCell ref="E152:E156"/>
    <mergeCell ref="E157:E161"/>
    <mergeCell ref="E162:E166"/>
    <mergeCell ref="E167:E171"/>
    <mergeCell ref="E172:E176"/>
    <mergeCell ref="E177:E181"/>
    <mergeCell ref="E182:E186"/>
    <mergeCell ref="E187:E191"/>
    <mergeCell ref="E192:E196"/>
    <mergeCell ref="E197:E201"/>
    <mergeCell ref="E202:E206"/>
    <mergeCell ref="E207:E211"/>
    <mergeCell ref="E212:E216"/>
    <mergeCell ref="E217:E221"/>
    <mergeCell ref="E222:E226"/>
    <mergeCell ref="F2:F6"/>
    <mergeCell ref="F7:F11"/>
    <mergeCell ref="F12:F16"/>
    <mergeCell ref="F17:F21"/>
    <mergeCell ref="F22:F26"/>
    <mergeCell ref="F27:F31"/>
    <mergeCell ref="F32:F36"/>
    <mergeCell ref="F37:F41"/>
    <mergeCell ref="F42:F46"/>
    <mergeCell ref="F47:F51"/>
    <mergeCell ref="F52:F56"/>
    <mergeCell ref="F57:F61"/>
    <mergeCell ref="F62:F66"/>
    <mergeCell ref="F67:F71"/>
    <mergeCell ref="F72:F76"/>
    <mergeCell ref="F77:F81"/>
    <mergeCell ref="F82:F86"/>
    <mergeCell ref="F87:F91"/>
    <mergeCell ref="F92:F96"/>
    <mergeCell ref="F97:F101"/>
    <mergeCell ref="F102:F106"/>
    <mergeCell ref="F107:F111"/>
    <mergeCell ref="F112:F116"/>
    <mergeCell ref="F117:F121"/>
    <mergeCell ref="F122:F126"/>
    <mergeCell ref="F127:F131"/>
    <mergeCell ref="F132:F136"/>
    <mergeCell ref="F137:F141"/>
    <mergeCell ref="F142:F146"/>
    <mergeCell ref="F147:F151"/>
    <mergeCell ref="F152:F156"/>
    <mergeCell ref="F157:F161"/>
    <mergeCell ref="F162:F166"/>
    <mergeCell ref="F167:F171"/>
    <mergeCell ref="F172:F176"/>
    <mergeCell ref="F177:F181"/>
    <mergeCell ref="F182:F186"/>
    <mergeCell ref="F187:F191"/>
    <mergeCell ref="F192:F196"/>
    <mergeCell ref="F197:F201"/>
    <mergeCell ref="F202:F206"/>
    <mergeCell ref="F207:F211"/>
    <mergeCell ref="F212:F216"/>
    <mergeCell ref="F217:F221"/>
    <mergeCell ref="F222:F226"/>
    <mergeCell ref="G2:G6"/>
    <mergeCell ref="G7:G11"/>
    <mergeCell ref="G12:G16"/>
    <mergeCell ref="G17:G21"/>
    <mergeCell ref="G22:G26"/>
    <mergeCell ref="G27:G31"/>
    <mergeCell ref="G32:G36"/>
    <mergeCell ref="G37:G41"/>
    <mergeCell ref="G42:G46"/>
    <mergeCell ref="G47:G51"/>
    <mergeCell ref="G52:G56"/>
    <mergeCell ref="G57:G61"/>
    <mergeCell ref="G62:G66"/>
    <mergeCell ref="G67:G71"/>
    <mergeCell ref="G72:G76"/>
    <mergeCell ref="G77:G81"/>
    <mergeCell ref="G82:G86"/>
    <mergeCell ref="G87:G91"/>
    <mergeCell ref="G92:G96"/>
    <mergeCell ref="G97:G101"/>
    <mergeCell ref="G102:G106"/>
    <mergeCell ref="G107:G111"/>
    <mergeCell ref="G112:G116"/>
    <mergeCell ref="G117:G121"/>
    <mergeCell ref="G122:G126"/>
    <mergeCell ref="G127:G131"/>
    <mergeCell ref="G132:G136"/>
    <mergeCell ref="G137:G141"/>
    <mergeCell ref="G142:G146"/>
    <mergeCell ref="G147:G151"/>
    <mergeCell ref="G152:G156"/>
    <mergeCell ref="G157:G161"/>
    <mergeCell ref="G162:G166"/>
    <mergeCell ref="G167:G171"/>
    <mergeCell ref="G172:G176"/>
    <mergeCell ref="G177:G181"/>
    <mergeCell ref="G182:G186"/>
    <mergeCell ref="G187:G191"/>
    <mergeCell ref="G192:G196"/>
    <mergeCell ref="G197:G201"/>
    <mergeCell ref="G202:G206"/>
    <mergeCell ref="G207:G211"/>
    <mergeCell ref="G212:G216"/>
    <mergeCell ref="G217:G221"/>
    <mergeCell ref="G222:G22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9"/>
  <sheetViews>
    <sheetView zoomScale="85" zoomScaleNormal="85" workbookViewId="0">
      <selection activeCell="F6" sqref="F6"/>
    </sheetView>
  </sheetViews>
  <sheetFormatPr defaultColWidth="8.72727272727273" defaultRowHeight="14"/>
  <cols>
    <col min="1" max="1" width="8.72727272727273" style="23"/>
    <col min="2" max="2" width="11.5454545454545" style="23" customWidth="1"/>
    <col min="3" max="3" width="17.6363636363636" style="23" customWidth="1"/>
    <col min="4" max="12" width="8.72727272727273" style="23"/>
    <col min="13" max="13" width="44.9090909090909" style="23" customWidth="1"/>
    <col min="14" max="16384" width="8.72727272727273" style="23"/>
  </cols>
  <sheetData>
    <row r="1" ht="26" spans="1:13">
      <c r="A1" s="25" t="s">
        <v>1</v>
      </c>
      <c r="B1" s="26" t="s">
        <v>2</v>
      </c>
      <c r="C1" s="26" t="s">
        <v>3</v>
      </c>
      <c r="D1" s="25" t="s">
        <v>4</v>
      </c>
      <c r="E1" s="25" t="s">
        <v>5</v>
      </c>
      <c r="F1" s="26" t="s">
        <v>6</v>
      </c>
      <c r="G1" s="25" t="s">
        <v>7</v>
      </c>
      <c r="H1" s="26" t="s">
        <v>8</v>
      </c>
      <c r="I1" s="26" t="s">
        <v>9</v>
      </c>
      <c r="J1" s="27" t="s">
        <v>10</v>
      </c>
      <c r="K1" s="28" t="s">
        <v>11</v>
      </c>
      <c r="L1" s="28" t="s">
        <v>26</v>
      </c>
      <c r="M1" s="26" t="s">
        <v>12</v>
      </c>
    </row>
    <row r="2" ht="26" spans="1:13">
      <c r="A2" s="54">
        <v>1</v>
      </c>
      <c r="B2" s="55" t="s">
        <v>13</v>
      </c>
      <c r="C2" s="56" t="s">
        <v>69</v>
      </c>
      <c r="D2" s="55">
        <v>18</v>
      </c>
      <c r="E2" s="55">
        <v>15</v>
      </c>
      <c r="F2" s="55">
        <v>2840</v>
      </c>
      <c r="G2" s="55">
        <v>2.2</v>
      </c>
      <c r="H2" s="55">
        <v>14</v>
      </c>
      <c r="I2" s="57">
        <v>0.13</v>
      </c>
      <c r="J2" s="58">
        <v>1650</v>
      </c>
      <c r="K2" s="58">
        <f t="shared" ref="K2:K65" si="0">J2*H2</f>
        <v>23100</v>
      </c>
      <c r="L2" s="58"/>
      <c r="M2" s="59" t="s">
        <v>70</v>
      </c>
    </row>
    <row r="3" spans="1:13">
      <c r="A3" s="54"/>
      <c r="B3" s="60" t="s">
        <v>71</v>
      </c>
      <c r="C3" s="55" t="s">
        <v>72</v>
      </c>
      <c r="D3" s="55"/>
      <c r="E3" s="55"/>
      <c r="F3" s="55"/>
      <c r="G3" s="55"/>
      <c r="H3" s="55">
        <v>14</v>
      </c>
      <c r="I3" s="57">
        <v>0.13</v>
      </c>
      <c r="J3" s="58">
        <v>300</v>
      </c>
      <c r="K3" s="58">
        <f t="shared" si="0"/>
        <v>4200</v>
      </c>
      <c r="L3" s="58"/>
      <c r="M3" s="59" t="s">
        <v>73</v>
      </c>
    </row>
    <row r="4" ht="26" spans="1:13">
      <c r="A4" s="54"/>
      <c r="B4" s="60" t="s">
        <v>74</v>
      </c>
      <c r="C4" s="55" t="s">
        <v>32</v>
      </c>
      <c r="D4" s="55"/>
      <c r="E4" s="55"/>
      <c r="F4" s="55"/>
      <c r="G4" s="55"/>
      <c r="H4" s="55">
        <v>14</v>
      </c>
      <c r="I4" s="57">
        <v>0.13</v>
      </c>
      <c r="J4" s="58">
        <v>350</v>
      </c>
      <c r="K4" s="58">
        <f t="shared" si="0"/>
        <v>4900</v>
      </c>
      <c r="L4" s="58"/>
      <c r="M4" s="59" t="s">
        <v>75</v>
      </c>
    </row>
    <row r="5" ht="26" spans="1:13">
      <c r="A5" s="54"/>
      <c r="B5" s="60" t="s">
        <v>76</v>
      </c>
      <c r="C5" s="55" t="s">
        <v>33</v>
      </c>
      <c r="D5" s="55"/>
      <c r="E5" s="55"/>
      <c r="F5" s="55"/>
      <c r="G5" s="55"/>
      <c r="H5" s="55">
        <v>14</v>
      </c>
      <c r="I5" s="57">
        <v>0.13</v>
      </c>
      <c r="J5" s="58">
        <v>135</v>
      </c>
      <c r="K5" s="58">
        <f t="shared" si="0"/>
        <v>1890</v>
      </c>
      <c r="L5" s="58"/>
      <c r="M5" s="59" t="s">
        <v>77</v>
      </c>
    </row>
    <row r="6" ht="52" spans="1:13">
      <c r="A6" s="54"/>
      <c r="B6" s="55" t="s">
        <v>21</v>
      </c>
      <c r="C6" s="60" t="s">
        <v>78</v>
      </c>
      <c r="D6" s="60"/>
      <c r="E6" s="60"/>
      <c r="F6" s="60"/>
      <c r="G6" s="60"/>
      <c r="H6" s="55">
        <v>7</v>
      </c>
      <c r="I6" s="57">
        <v>0.13</v>
      </c>
      <c r="J6" s="58">
        <v>1100</v>
      </c>
      <c r="K6" s="58">
        <f t="shared" si="0"/>
        <v>7700</v>
      </c>
      <c r="L6" s="58"/>
      <c r="M6" s="59" t="s">
        <v>79</v>
      </c>
    </row>
    <row r="7" spans="1:13">
      <c r="A7" s="54"/>
      <c r="B7" s="55" t="s">
        <v>23</v>
      </c>
      <c r="C7" s="55" t="s">
        <v>80</v>
      </c>
      <c r="D7" s="55"/>
      <c r="E7" s="55"/>
      <c r="F7" s="55"/>
      <c r="G7" s="55"/>
      <c r="H7" s="55">
        <v>21</v>
      </c>
      <c r="I7" s="57">
        <v>0.13</v>
      </c>
      <c r="J7" s="58">
        <v>115</v>
      </c>
      <c r="K7" s="58">
        <f t="shared" si="0"/>
        <v>2415</v>
      </c>
      <c r="L7" s="58"/>
      <c r="M7" s="59" t="s">
        <v>81</v>
      </c>
    </row>
    <row r="8" ht="26" spans="1:13">
      <c r="A8" s="54">
        <v>2</v>
      </c>
      <c r="B8" s="55" t="s">
        <v>13</v>
      </c>
      <c r="C8" s="56" t="s">
        <v>82</v>
      </c>
      <c r="D8" s="55">
        <v>18</v>
      </c>
      <c r="E8" s="55">
        <v>20</v>
      </c>
      <c r="F8" s="55">
        <v>2880</v>
      </c>
      <c r="G8" s="55">
        <v>2.2</v>
      </c>
      <c r="H8" s="55">
        <v>34</v>
      </c>
      <c r="I8" s="57">
        <v>0.13</v>
      </c>
      <c r="J8" s="58">
        <v>1650</v>
      </c>
      <c r="K8" s="58">
        <f t="shared" si="0"/>
        <v>56100</v>
      </c>
      <c r="L8" s="58"/>
      <c r="M8" s="59" t="s">
        <v>70</v>
      </c>
    </row>
    <row r="9" spans="1:13">
      <c r="A9" s="54"/>
      <c r="B9" s="60" t="s">
        <v>71</v>
      </c>
      <c r="C9" s="55" t="s">
        <v>72</v>
      </c>
      <c r="D9" s="55"/>
      <c r="E9" s="55"/>
      <c r="F9" s="55"/>
      <c r="G9" s="55"/>
      <c r="H9" s="55">
        <v>34</v>
      </c>
      <c r="I9" s="57">
        <v>0.13</v>
      </c>
      <c r="J9" s="58">
        <v>300</v>
      </c>
      <c r="K9" s="58">
        <f t="shared" si="0"/>
        <v>10200</v>
      </c>
      <c r="L9" s="58"/>
      <c r="M9" s="59" t="s">
        <v>73</v>
      </c>
    </row>
    <row r="10" ht="26" spans="1:13">
      <c r="A10" s="54"/>
      <c r="B10" s="60" t="s">
        <v>74</v>
      </c>
      <c r="C10" s="55" t="s">
        <v>32</v>
      </c>
      <c r="D10" s="55"/>
      <c r="E10" s="55"/>
      <c r="F10" s="55"/>
      <c r="G10" s="55"/>
      <c r="H10" s="55">
        <v>34</v>
      </c>
      <c r="I10" s="57">
        <v>0.13</v>
      </c>
      <c r="J10" s="58">
        <v>350</v>
      </c>
      <c r="K10" s="58">
        <f t="shared" si="0"/>
        <v>11900</v>
      </c>
      <c r="L10" s="58"/>
      <c r="M10" s="59" t="s">
        <v>75</v>
      </c>
    </row>
    <row r="11" ht="26" spans="1:13">
      <c r="A11" s="54"/>
      <c r="B11" s="60" t="s">
        <v>76</v>
      </c>
      <c r="C11" s="55" t="s">
        <v>33</v>
      </c>
      <c r="D11" s="55"/>
      <c r="E11" s="55"/>
      <c r="F11" s="55"/>
      <c r="G11" s="55"/>
      <c r="H11" s="55">
        <v>34</v>
      </c>
      <c r="I11" s="57">
        <v>0.13</v>
      </c>
      <c r="J11" s="58">
        <v>135</v>
      </c>
      <c r="K11" s="58">
        <f t="shared" si="0"/>
        <v>4590</v>
      </c>
      <c r="L11" s="58"/>
      <c r="M11" s="59" t="s">
        <v>77</v>
      </c>
    </row>
    <row r="12" ht="52" spans="1:13">
      <c r="A12" s="54"/>
      <c r="B12" s="55" t="s">
        <v>21</v>
      </c>
      <c r="C12" s="60" t="s">
        <v>78</v>
      </c>
      <c r="D12" s="60"/>
      <c r="E12" s="60"/>
      <c r="F12" s="60"/>
      <c r="G12" s="60"/>
      <c r="H12" s="55">
        <v>17</v>
      </c>
      <c r="I12" s="57">
        <v>0.13</v>
      </c>
      <c r="J12" s="58">
        <v>1100</v>
      </c>
      <c r="K12" s="58">
        <f t="shared" si="0"/>
        <v>18700</v>
      </c>
      <c r="L12" s="58"/>
      <c r="M12" s="59" t="s">
        <v>79</v>
      </c>
    </row>
    <row r="13" spans="1:13">
      <c r="A13" s="54"/>
      <c r="B13" s="55" t="s">
        <v>23</v>
      </c>
      <c r="C13" s="55" t="s">
        <v>80</v>
      </c>
      <c r="D13" s="55"/>
      <c r="E13" s="55"/>
      <c r="F13" s="55"/>
      <c r="G13" s="55"/>
      <c r="H13" s="55">
        <v>51</v>
      </c>
      <c r="I13" s="57">
        <v>0.13</v>
      </c>
      <c r="J13" s="58">
        <v>115</v>
      </c>
      <c r="K13" s="58">
        <f t="shared" si="0"/>
        <v>5865</v>
      </c>
      <c r="L13" s="58"/>
      <c r="M13" s="59" t="s">
        <v>81</v>
      </c>
    </row>
    <row r="14" ht="26" spans="1:13">
      <c r="A14" s="54">
        <v>3</v>
      </c>
      <c r="B14" s="55" t="s">
        <v>13</v>
      </c>
      <c r="C14" s="56" t="s">
        <v>83</v>
      </c>
      <c r="D14" s="55">
        <v>18</v>
      </c>
      <c r="E14" s="55">
        <v>25</v>
      </c>
      <c r="F14" s="55">
        <v>2880</v>
      </c>
      <c r="G14" s="55">
        <v>3</v>
      </c>
      <c r="H14" s="55">
        <v>50</v>
      </c>
      <c r="I14" s="57">
        <v>0.13</v>
      </c>
      <c r="J14" s="58">
        <v>2070</v>
      </c>
      <c r="K14" s="58">
        <f t="shared" si="0"/>
        <v>103500</v>
      </c>
      <c r="L14" s="58"/>
      <c r="M14" s="59" t="s">
        <v>70</v>
      </c>
    </row>
    <row r="15" spans="1:13">
      <c r="A15" s="54"/>
      <c r="B15" s="60" t="s">
        <v>71</v>
      </c>
      <c r="C15" s="55" t="s">
        <v>72</v>
      </c>
      <c r="D15" s="55"/>
      <c r="E15" s="55"/>
      <c r="F15" s="55"/>
      <c r="G15" s="55"/>
      <c r="H15" s="55">
        <v>50</v>
      </c>
      <c r="I15" s="57">
        <v>0.13</v>
      </c>
      <c r="J15" s="58">
        <v>300</v>
      </c>
      <c r="K15" s="58">
        <f t="shared" si="0"/>
        <v>15000</v>
      </c>
      <c r="L15" s="58"/>
      <c r="M15" s="59" t="s">
        <v>73</v>
      </c>
    </row>
    <row r="16" ht="26" spans="1:13">
      <c r="A16" s="54"/>
      <c r="B16" s="60" t="s">
        <v>74</v>
      </c>
      <c r="C16" s="55" t="s">
        <v>32</v>
      </c>
      <c r="D16" s="55"/>
      <c r="E16" s="55"/>
      <c r="F16" s="55"/>
      <c r="G16" s="55"/>
      <c r="H16" s="55">
        <v>50</v>
      </c>
      <c r="I16" s="57">
        <v>0.13</v>
      </c>
      <c r="J16" s="58">
        <v>350</v>
      </c>
      <c r="K16" s="58">
        <f t="shared" si="0"/>
        <v>17500</v>
      </c>
      <c r="L16" s="58"/>
      <c r="M16" s="59" t="s">
        <v>75</v>
      </c>
    </row>
    <row r="17" ht="26" spans="1:13">
      <c r="A17" s="54"/>
      <c r="B17" s="60" t="s">
        <v>76</v>
      </c>
      <c r="C17" s="55" t="s">
        <v>33</v>
      </c>
      <c r="D17" s="55"/>
      <c r="E17" s="55"/>
      <c r="F17" s="55"/>
      <c r="G17" s="55"/>
      <c r="H17" s="55">
        <v>50</v>
      </c>
      <c r="I17" s="57">
        <v>0.13</v>
      </c>
      <c r="J17" s="58">
        <v>135</v>
      </c>
      <c r="K17" s="58">
        <f t="shared" si="0"/>
        <v>6750</v>
      </c>
      <c r="L17" s="58"/>
      <c r="M17" s="59" t="s">
        <v>77</v>
      </c>
    </row>
    <row r="18" ht="52" spans="1:13">
      <c r="A18" s="54"/>
      <c r="B18" s="55" t="s">
        <v>21</v>
      </c>
      <c r="C18" s="60" t="s">
        <v>84</v>
      </c>
      <c r="D18" s="60"/>
      <c r="E18" s="60"/>
      <c r="F18" s="60"/>
      <c r="G18" s="60"/>
      <c r="H18" s="55">
        <v>25</v>
      </c>
      <c r="I18" s="57">
        <v>0.13</v>
      </c>
      <c r="J18" s="58">
        <v>1100</v>
      </c>
      <c r="K18" s="58">
        <f t="shared" si="0"/>
        <v>27500</v>
      </c>
      <c r="L18" s="58"/>
      <c r="M18" s="59" t="s">
        <v>79</v>
      </c>
    </row>
    <row r="19" spans="1:13">
      <c r="A19" s="54"/>
      <c r="B19" s="55" t="s">
        <v>23</v>
      </c>
      <c r="C19" s="55" t="s">
        <v>80</v>
      </c>
      <c r="D19" s="55"/>
      <c r="E19" s="55"/>
      <c r="F19" s="55"/>
      <c r="G19" s="55"/>
      <c r="H19" s="55">
        <v>75</v>
      </c>
      <c r="I19" s="57">
        <v>0.13</v>
      </c>
      <c r="J19" s="58">
        <v>115</v>
      </c>
      <c r="K19" s="58">
        <f t="shared" si="0"/>
        <v>8625</v>
      </c>
      <c r="L19" s="58"/>
      <c r="M19" s="59" t="s">
        <v>81</v>
      </c>
    </row>
    <row r="20" ht="26" spans="1:13">
      <c r="A20" s="54">
        <v>4</v>
      </c>
      <c r="B20" s="55" t="s">
        <v>13</v>
      </c>
      <c r="C20" s="56" t="s">
        <v>83</v>
      </c>
      <c r="D20" s="55">
        <v>18</v>
      </c>
      <c r="E20" s="55">
        <v>28</v>
      </c>
      <c r="F20" s="55">
        <v>2880</v>
      </c>
      <c r="G20" s="55">
        <v>3</v>
      </c>
      <c r="H20" s="55">
        <v>4</v>
      </c>
      <c r="I20" s="57">
        <v>0.13</v>
      </c>
      <c r="J20" s="58">
        <v>2070</v>
      </c>
      <c r="K20" s="58">
        <f t="shared" si="0"/>
        <v>8280</v>
      </c>
      <c r="L20" s="58"/>
      <c r="M20" s="59" t="s">
        <v>70</v>
      </c>
    </row>
    <row r="21" spans="1:13">
      <c r="A21" s="54"/>
      <c r="B21" s="60" t="s">
        <v>71</v>
      </c>
      <c r="C21" s="55" t="s">
        <v>72</v>
      </c>
      <c r="D21" s="55"/>
      <c r="E21" s="55"/>
      <c r="F21" s="55"/>
      <c r="G21" s="55"/>
      <c r="H21" s="55">
        <v>4</v>
      </c>
      <c r="I21" s="57">
        <v>0.13</v>
      </c>
      <c r="J21" s="58">
        <v>300</v>
      </c>
      <c r="K21" s="58">
        <f t="shared" si="0"/>
        <v>1200</v>
      </c>
      <c r="L21" s="58"/>
      <c r="M21" s="59" t="s">
        <v>73</v>
      </c>
    </row>
    <row r="22" ht="26" spans="1:13">
      <c r="A22" s="54"/>
      <c r="B22" s="60" t="s">
        <v>74</v>
      </c>
      <c r="C22" s="55" t="s">
        <v>32</v>
      </c>
      <c r="D22" s="55"/>
      <c r="E22" s="55"/>
      <c r="F22" s="55"/>
      <c r="G22" s="55"/>
      <c r="H22" s="55">
        <v>4</v>
      </c>
      <c r="I22" s="57">
        <v>0.13</v>
      </c>
      <c r="J22" s="58">
        <v>350</v>
      </c>
      <c r="K22" s="58">
        <f t="shared" si="0"/>
        <v>1400</v>
      </c>
      <c r="L22" s="58"/>
      <c r="M22" s="59" t="s">
        <v>75</v>
      </c>
    </row>
    <row r="23" ht="26" spans="1:13">
      <c r="A23" s="54"/>
      <c r="B23" s="60" t="s">
        <v>76</v>
      </c>
      <c r="C23" s="55" t="s">
        <v>33</v>
      </c>
      <c r="D23" s="55"/>
      <c r="E23" s="55"/>
      <c r="F23" s="55"/>
      <c r="G23" s="55"/>
      <c r="H23" s="55">
        <v>4</v>
      </c>
      <c r="I23" s="57">
        <v>0.13</v>
      </c>
      <c r="J23" s="58">
        <v>135</v>
      </c>
      <c r="K23" s="58">
        <f t="shared" si="0"/>
        <v>540</v>
      </c>
      <c r="L23" s="58"/>
      <c r="M23" s="59" t="s">
        <v>77</v>
      </c>
    </row>
    <row r="24" ht="52" spans="1:13">
      <c r="A24" s="54"/>
      <c r="B24" s="55" t="s">
        <v>21</v>
      </c>
      <c r="C24" s="60" t="s">
        <v>84</v>
      </c>
      <c r="D24" s="60"/>
      <c r="E24" s="60"/>
      <c r="F24" s="60"/>
      <c r="G24" s="60"/>
      <c r="H24" s="55">
        <v>2</v>
      </c>
      <c r="I24" s="57">
        <v>0.13</v>
      </c>
      <c r="J24" s="58">
        <v>1100</v>
      </c>
      <c r="K24" s="58">
        <f t="shared" si="0"/>
        <v>2200</v>
      </c>
      <c r="L24" s="58"/>
      <c r="M24" s="59" t="s">
        <v>79</v>
      </c>
    </row>
    <row r="25" spans="1:13">
      <c r="A25" s="54"/>
      <c r="B25" s="55" t="s">
        <v>23</v>
      </c>
      <c r="C25" s="55" t="s">
        <v>80</v>
      </c>
      <c r="D25" s="55"/>
      <c r="E25" s="55"/>
      <c r="F25" s="55"/>
      <c r="G25" s="55"/>
      <c r="H25" s="55">
        <v>6</v>
      </c>
      <c r="I25" s="57">
        <v>0.13</v>
      </c>
      <c r="J25" s="58">
        <v>115</v>
      </c>
      <c r="K25" s="58">
        <f t="shared" si="0"/>
        <v>690</v>
      </c>
      <c r="L25" s="58"/>
      <c r="M25" s="59" t="s">
        <v>81</v>
      </c>
    </row>
    <row r="26" ht="26" spans="1:13">
      <c r="A26" s="54">
        <v>5</v>
      </c>
      <c r="B26" s="55" t="s">
        <v>13</v>
      </c>
      <c r="C26" s="56" t="s">
        <v>83</v>
      </c>
      <c r="D26" s="55">
        <v>18</v>
      </c>
      <c r="E26" s="55">
        <v>28</v>
      </c>
      <c r="F26" s="55">
        <v>2880</v>
      </c>
      <c r="G26" s="55">
        <v>3</v>
      </c>
      <c r="H26" s="55">
        <v>2</v>
      </c>
      <c r="I26" s="57">
        <v>0.13</v>
      </c>
      <c r="J26" s="58">
        <v>2070</v>
      </c>
      <c r="K26" s="58">
        <f t="shared" si="0"/>
        <v>4140</v>
      </c>
      <c r="L26" s="58"/>
      <c r="M26" s="59" t="s">
        <v>70</v>
      </c>
    </row>
    <row r="27" spans="1:13">
      <c r="A27" s="54"/>
      <c r="B27" s="60" t="s">
        <v>71</v>
      </c>
      <c r="C27" s="55" t="s">
        <v>72</v>
      </c>
      <c r="D27" s="55"/>
      <c r="E27" s="55"/>
      <c r="F27" s="55"/>
      <c r="G27" s="55"/>
      <c r="H27" s="55">
        <v>2</v>
      </c>
      <c r="I27" s="57">
        <v>0.13</v>
      </c>
      <c r="J27" s="58">
        <v>300</v>
      </c>
      <c r="K27" s="58">
        <f t="shared" si="0"/>
        <v>600</v>
      </c>
      <c r="L27" s="58"/>
      <c r="M27" s="59" t="s">
        <v>73</v>
      </c>
    </row>
    <row r="28" ht="26" spans="1:13">
      <c r="A28" s="54"/>
      <c r="B28" s="60" t="s">
        <v>74</v>
      </c>
      <c r="C28" s="55" t="s">
        <v>32</v>
      </c>
      <c r="D28" s="55"/>
      <c r="E28" s="55"/>
      <c r="F28" s="55"/>
      <c r="G28" s="55"/>
      <c r="H28" s="55">
        <v>2</v>
      </c>
      <c r="I28" s="57">
        <v>0.13</v>
      </c>
      <c r="J28" s="58">
        <v>350</v>
      </c>
      <c r="K28" s="58">
        <f t="shared" si="0"/>
        <v>700</v>
      </c>
      <c r="L28" s="58"/>
      <c r="M28" s="59" t="s">
        <v>75</v>
      </c>
    </row>
    <row r="29" ht="26" spans="1:13">
      <c r="A29" s="54"/>
      <c r="B29" s="60" t="s">
        <v>76</v>
      </c>
      <c r="C29" s="55" t="s">
        <v>33</v>
      </c>
      <c r="D29" s="55"/>
      <c r="E29" s="55"/>
      <c r="F29" s="55"/>
      <c r="G29" s="55"/>
      <c r="H29" s="55">
        <v>2</v>
      </c>
      <c r="I29" s="57">
        <v>0.13</v>
      </c>
      <c r="J29" s="58">
        <v>135</v>
      </c>
      <c r="K29" s="58">
        <f t="shared" si="0"/>
        <v>270</v>
      </c>
      <c r="L29" s="58"/>
      <c r="M29" s="59" t="s">
        <v>77</v>
      </c>
    </row>
    <row r="30" ht="52" spans="1:13">
      <c r="A30" s="54"/>
      <c r="B30" s="55" t="s">
        <v>21</v>
      </c>
      <c r="C30" s="60" t="s">
        <v>84</v>
      </c>
      <c r="D30" s="60"/>
      <c r="E30" s="60"/>
      <c r="F30" s="60"/>
      <c r="G30" s="60"/>
      <c r="H30" s="55">
        <v>1</v>
      </c>
      <c r="I30" s="57">
        <v>0.13</v>
      </c>
      <c r="J30" s="58">
        <v>1100</v>
      </c>
      <c r="K30" s="58">
        <f t="shared" si="0"/>
        <v>1100</v>
      </c>
      <c r="L30" s="58"/>
      <c r="M30" s="59" t="s">
        <v>79</v>
      </c>
    </row>
    <row r="31" spans="1:13">
      <c r="A31" s="54"/>
      <c r="B31" s="55" t="s">
        <v>23</v>
      </c>
      <c r="C31" s="55" t="s">
        <v>80</v>
      </c>
      <c r="D31" s="55"/>
      <c r="E31" s="55"/>
      <c r="F31" s="55"/>
      <c r="G31" s="55"/>
      <c r="H31" s="55">
        <v>3</v>
      </c>
      <c r="I31" s="57">
        <v>0.13</v>
      </c>
      <c r="J31" s="58">
        <v>115</v>
      </c>
      <c r="K31" s="58">
        <f t="shared" si="0"/>
        <v>345</v>
      </c>
      <c r="L31" s="58"/>
      <c r="M31" s="59" t="s">
        <v>81</v>
      </c>
    </row>
    <row r="32" ht="26" spans="1:13">
      <c r="A32" s="54">
        <v>6</v>
      </c>
      <c r="B32" s="55" t="s">
        <v>13</v>
      </c>
      <c r="C32" s="56" t="s">
        <v>85</v>
      </c>
      <c r="D32" s="55">
        <v>36</v>
      </c>
      <c r="E32" s="55">
        <v>15</v>
      </c>
      <c r="F32" s="55">
        <v>2880</v>
      </c>
      <c r="G32" s="55">
        <v>3</v>
      </c>
      <c r="H32" s="55">
        <v>5</v>
      </c>
      <c r="I32" s="57">
        <v>0.13</v>
      </c>
      <c r="J32" s="58">
        <v>2000</v>
      </c>
      <c r="K32" s="58">
        <f t="shared" si="0"/>
        <v>10000</v>
      </c>
      <c r="L32" s="58"/>
      <c r="M32" s="59" t="s">
        <v>70</v>
      </c>
    </row>
    <row r="33" spans="1:13">
      <c r="A33" s="54"/>
      <c r="B33" s="60" t="s">
        <v>71</v>
      </c>
      <c r="C33" s="55" t="s">
        <v>86</v>
      </c>
      <c r="D33" s="55"/>
      <c r="E33" s="55"/>
      <c r="F33" s="55"/>
      <c r="G33" s="55"/>
      <c r="H33" s="55">
        <v>5</v>
      </c>
      <c r="I33" s="57">
        <v>0.13</v>
      </c>
      <c r="J33" s="58">
        <v>420</v>
      </c>
      <c r="K33" s="58">
        <f t="shared" si="0"/>
        <v>2100</v>
      </c>
      <c r="L33" s="58"/>
      <c r="M33" s="59" t="s">
        <v>73</v>
      </c>
    </row>
    <row r="34" ht="26" spans="1:13">
      <c r="A34" s="54"/>
      <c r="B34" s="60" t="s">
        <v>74</v>
      </c>
      <c r="C34" s="55" t="s">
        <v>32</v>
      </c>
      <c r="D34" s="55"/>
      <c r="E34" s="55"/>
      <c r="F34" s="55"/>
      <c r="G34" s="55"/>
      <c r="H34" s="55">
        <v>5</v>
      </c>
      <c r="I34" s="57">
        <v>0.13</v>
      </c>
      <c r="J34" s="58">
        <v>350</v>
      </c>
      <c r="K34" s="58">
        <f t="shared" si="0"/>
        <v>1750</v>
      </c>
      <c r="L34" s="58"/>
      <c r="M34" s="59" t="s">
        <v>75</v>
      </c>
    </row>
    <row r="35" ht="26" spans="1:13">
      <c r="A35" s="54"/>
      <c r="B35" s="60" t="s">
        <v>76</v>
      </c>
      <c r="C35" s="55" t="s">
        <v>33</v>
      </c>
      <c r="D35" s="55"/>
      <c r="E35" s="55"/>
      <c r="F35" s="55"/>
      <c r="G35" s="55"/>
      <c r="H35" s="55">
        <v>5</v>
      </c>
      <c r="I35" s="57">
        <v>0.13</v>
      </c>
      <c r="J35" s="58">
        <v>135</v>
      </c>
      <c r="K35" s="58">
        <f t="shared" si="0"/>
        <v>675</v>
      </c>
      <c r="L35" s="58"/>
      <c r="M35" s="59" t="s">
        <v>77</v>
      </c>
    </row>
    <row r="36" ht="52" spans="1:13">
      <c r="A36" s="54"/>
      <c r="B36" s="55" t="s">
        <v>21</v>
      </c>
      <c r="C36" s="60" t="s">
        <v>84</v>
      </c>
      <c r="D36" s="60"/>
      <c r="E36" s="60"/>
      <c r="F36" s="60"/>
      <c r="G36" s="60"/>
      <c r="H36" s="55">
        <v>1</v>
      </c>
      <c r="I36" s="57">
        <v>0.13</v>
      </c>
      <c r="J36" s="58">
        <v>1100</v>
      </c>
      <c r="K36" s="58">
        <f t="shared" si="0"/>
        <v>1100</v>
      </c>
      <c r="L36" s="58"/>
      <c r="M36" s="59" t="s">
        <v>79</v>
      </c>
    </row>
    <row r="37" ht="65" spans="1:13">
      <c r="A37" s="54"/>
      <c r="B37" s="55" t="s">
        <v>21</v>
      </c>
      <c r="C37" s="60" t="s">
        <v>87</v>
      </c>
      <c r="D37" s="60"/>
      <c r="E37" s="60"/>
      <c r="F37" s="60"/>
      <c r="G37" s="60"/>
      <c r="H37" s="55">
        <v>1</v>
      </c>
      <c r="I37" s="57">
        <v>0.13</v>
      </c>
      <c r="J37" s="58">
        <v>1650</v>
      </c>
      <c r="K37" s="58">
        <f t="shared" si="0"/>
        <v>1650</v>
      </c>
      <c r="L37" s="58"/>
      <c r="M37" s="59" t="s">
        <v>88</v>
      </c>
    </row>
    <row r="38" spans="1:13">
      <c r="A38" s="54"/>
      <c r="B38" s="55" t="s">
        <v>23</v>
      </c>
      <c r="C38" s="55" t="s">
        <v>80</v>
      </c>
      <c r="D38" s="55"/>
      <c r="E38" s="55"/>
      <c r="F38" s="55"/>
      <c r="G38" s="55"/>
      <c r="H38" s="55">
        <v>8</v>
      </c>
      <c r="I38" s="57">
        <v>0.13</v>
      </c>
      <c r="J38" s="58">
        <v>115</v>
      </c>
      <c r="K38" s="58">
        <f t="shared" si="0"/>
        <v>920</v>
      </c>
      <c r="L38" s="58"/>
      <c r="M38" s="59" t="s">
        <v>81</v>
      </c>
    </row>
    <row r="39" ht="39" spans="1:13">
      <c r="A39" s="54">
        <v>7</v>
      </c>
      <c r="B39" s="55" t="s">
        <v>13</v>
      </c>
      <c r="C39" s="61" t="s">
        <v>89</v>
      </c>
      <c r="D39" s="55">
        <v>36</v>
      </c>
      <c r="E39" s="55">
        <v>23</v>
      </c>
      <c r="F39" s="55">
        <v>2890</v>
      </c>
      <c r="G39" s="55">
        <v>4</v>
      </c>
      <c r="H39" s="55">
        <v>12</v>
      </c>
      <c r="I39" s="57">
        <v>0.13</v>
      </c>
      <c r="J39" s="58">
        <v>2500</v>
      </c>
      <c r="K39" s="58">
        <f t="shared" si="0"/>
        <v>30000</v>
      </c>
      <c r="L39" s="58"/>
      <c r="M39" s="59" t="s">
        <v>90</v>
      </c>
    </row>
    <row r="40" spans="1:13">
      <c r="A40" s="54"/>
      <c r="B40" s="60" t="s">
        <v>71</v>
      </c>
      <c r="C40" s="55" t="s">
        <v>86</v>
      </c>
      <c r="D40" s="55"/>
      <c r="E40" s="55"/>
      <c r="F40" s="55"/>
      <c r="G40" s="55"/>
      <c r="H40" s="55">
        <v>12</v>
      </c>
      <c r="I40" s="57">
        <v>0.13</v>
      </c>
      <c r="J40" s="58">
        <v>420</v>
      </c>
      <c r="K40" s="58">
        <f t="shared" si="0"/>
        <v>5040</v>
      </c>
      <c r="L40" s="58"/>
      <c r="M40" s="59" t="s">
        <v>73</v>
      </c>
    </row>
    <row r="41" ht="26" spans="1:13">
      <c r="A41" s="54"/>
      <c r="B41" s="60" t="s">
        <v>74</v>
      </c>
      <c r="C41" s="55" t="s">
        <v>32</v>
      </c>
      <c r="D41" s="55"/>
      <c r="E41" s="55"/>
      <c r="F41" s="55"/>
      <c r="G41" s="55"/>
      <c r="H41" s="55">
        <v>12</v>
      </c>
      <c r="I41" s="57">
        <v>0.13</v>
      </c>
      <c r="J41" s="58">
        <v>350</v>
      </c>
      <c r="K41" s="58">
        <f t="shared" si="0"/>
        <v>4200</v>
      </c>
      <c r="L41" s="58"/>
      <c r="M41" s="59" t="s">
        <v>75</v>
      </c>
    </row>
    <row r="42" ht="26" spans="1:13">
      <c r="A42" s="54"/>
      <c r="B42" s="60" t="s">
        <v>76</v>
      </c>
      <c r="C42" s="55" t="s">
        <v>33</v>
      </c>
      <c r="D42" s="55"/>
      <c r="E42" s="55"/>
      <c r="F42" s="55"/>
      <c r="G42" s="55"/>
      <c r="H42" s="55">
        <v>12</v>
      </c>
      <c r="I42" s="57">
        <v>0.13</v>
      </c>
      <c r="J42" s="58">
        <v>135</v>
      </c>
      <c r="K42" s="58">
        <f t="shared" si="0"/>
        <v>1620</v>
      </c>
      <c r="L42" s="58"/>
      <c r="M42" s="59" t="s">
        <v>77</v>
      </c>
    </row>
    <row r="43" ht="65" spans="1:13">
      <c r="A43" s="54"/>
      <c r="B43" s="55" t="s">
        <v>21</v>
      </c>
      <c r="C43" s="60" t="s">
        <v>91</v>
      </c>
      <c r="D43" s="60"/>
      <c r="E43" s="60"/>
      <c r="F43" s="60"/>
      <c r="G43" s="60"/>
      <c r="H43" s="55">
        <v>6</v>
      </c>
      <c r="I43" s="57">
        <v>0.13</v>
      </c>
      <c r="J43" s="58">
        <v>1650</v>
      </c>
      <c r="K43" s="58">
        <f t="shared" si="0"/>
        <v>9900</v>
      </c>
      <c r="L43" s="58"/>
      <c r="M43" s="59" t="s">
        <v>92</v>
      </c>
    </row>
    <row r="44" spans="1:13">
      <c r="A44" s="54"/>
      <c r="B44" s="55" t="s">
        <v>23</v>
      </c>
      <c r="C44" s="55" t="s">
        <v>80</v>
      </c>
      <c r="D44" s="55"/>
      <c r="E44" s="55"/>
      <c r="F44" s="55"/>
      <c r="G44" s="55"/>
      <c r="H44" s="55">
        <v>18</v>
      </c>
      <c r="I44" s="57">
        <v>0.13</v>
      </c>
      <c r="J44" s="58">
        <v>115</v>
      </c>
      <c r="K44" s="58">
        <f t="shared" si="0"/>
        <v>2070</v>
      </c>
      <c r="L44" s="58"/>
      <c r="M44" s="59" t="s">
        <v>81</v>
      </c>
    </row>
    <row r="45" ht="39" spans="1:13">
      <c r="A45" s="54">
        <v>8</v>
      </c>
      <c r="B45" s="55" t="s">
        <v>13</v>
      </c>
      <c r="C45" s="61" t="s">
        <v>93</v>
      </c>
      <c r="D45" s="55">
        <v>36</v>
      </c>
      <c r="E45" s="55">
        <v>25</v>
      </c>
      <c r="F45" s="55">
        <v>2920</v>
      </c>
      <c r="G45" s="55">
        <v>5.5</v>
      </c>
      <c r="H45" s="55">
        <v>10</v>
      </c>
      <c r="I45" s="57">
        <v>0.13</v>
      </c>
      <c r="J45" s="58">
        <v>3500</v>
      </c>
      <c r="K45" s="58">
        <f t="shared" si="0"/>
        <v>35000</v>
      </c>
      <c r="L45" s="58"/>
      <c r="M45" s="59" t="s">
        <v>90</v>
      </c>
    </row>
    <row r="46" spans="1:13">
      <c r="A46" s="54"/>
      <c r="B46" s="60" t="s">
        <v>71</v>
      </c>
      <c r="C46" s="55" t="s">
        <v>86</v>
      </c>
      <c r="D46" s="55"/>
      <c r="E46" s="55"/>
      <c r="F46" s="55"/>
      <c r="G46" s="55"/>
      <c r="H46" s="55">
        <v>10</v>
      </c>
      <c r="I46" s="57">
        <v>0.13</v>
      </c>
      <c r="J46" s="58">
        <v>420</v>
      </c>
      <c r="K46" s="58">
        <f t="shared" si="0"/>
        <v>4200</v>
      </c>
      <c r="L46" s="58"/>
      <c r="M46" s="59" t="s">
        <v>73</v>
      </c>
    </row>
    <row r="47" ht="26" spans="1:13">
      <c r="A47" s="54"/>
      <c r="B47" s="60" t="s">
        <v>74</v>
      </c>
      <c r="C47" s="55" t="s">
        <v>32</v>
      </c>
      <c r="D47" s="55"/>
      <c r="E47" s="55"/>
      <c r="F47" s="55"/>
      <c r="G47" s="55"/>
      <c r="H47" s="55">
        <v>10</v>
      </c>
      <c r="I47" s="57">
        <v>0.13</v>
      </c>
      <c r="J47" s="58">
        <v>350</v>
      </c>
      <c r="K47" s="58">
        <f t="shared" si="0"/>
        <v>3500</v>
      </c>
      <c r="L47" s="58"/>
      <c r="M47" s="59" t="s">
        <v>75</v>
      </c>
    </row>
    <row r="48" ht="26" spans="1:13">
      <c r="A48" s="54"/>
      <c r="B48" s="60" t="s">
        <v>76</v>
      </c>
      <c r="C48" s="55" t="s">
        <v>33</v>
      </c>
      <c r="D48" s="55"/>
      <c r="E48" s="55"/>
      <c r="F48" s="55"/>
      <c r="G48" s="55"/>
      <c r="H48" s="55">
        <v>10</v>
      </c>
      <c r="I48" s="57">
        <v>0.13</v>
      </c>
      <c r="J48" s="58">
        <v>135</v>
      </c>
      <c r="K48" s="58">
        <f t="shared" si="0"/>
        <v>1350</v>
      </c>
      <c r="L48" s="58"/>
      <c r="M48" s="59" t="s">
        <v>77</v>
      </c>
    </row>
    <row r="49" ht="65" spans="1:13">
      <c r="A49" s="54"/>
      <c r="B49" s="55" t="s">
        <v>21</v>
      </c>
      <c r="C49" s="60" t="s">
        <v>94</v>
      </c>
      <c r="D49" s="60"/>
      <c r="E49" s="60"/>
      <c r="F49" s="60"/>
      <c r="G49" s="60"/>
      <c r="H49" s="55">
        <v>2</v>
      </c>
      <c r="I49" s="57">
        <v>0.13</v>
      </c>
      <c r="J49" s="58">
        <v>1650</v>
      </c>
      <c r="K49" s="58">
        <f t="shared" si="0"/>
        <v>3300</v>
      </c>
      <c r="L49" s="58"/>
      <c r="M49" s="59" t="s">
        <v>92</v>
      </c>
    </row>
    <row r="50" ht="78" spans="1:13">
      <c r="A50" s="54"/>
      <c r="B50" s="55" t="s">
        <v>21</v>
      </c>
      <c r="C50" s="60" t="s">
        <v>95</v>
      </c>
      <c r="D50" s="60"/>
      <c r="E50" s="60"/>
      <c r="F50" s="60"/>
      <c r="G50" s="60"/>
      <c r="H50" s="55">
        <v>2</v>
      </c>
      <c r="I50" s="57">
        <v>0.13</v>
      </c>
      <c r="J50" s="58">
        <v>3000</v>
      </c>
      <c r="K50" s="58">
        <f t="shared" si="0"/>
        <v>6000</v>
      </c>
      <c r="L50" s="58"/>
      <c r="M50" s="59" t="s">
        <v>96</v>
      </c>
    </row>
    <row r="51" spans="1:13">
      <c r="A51" s="54"/>
      <c r="B51" s="55" t="s">
        <v>23</v>
      </c>
      <c r="C51" s="55" t="s">
        <v>80</v>
      </c>
      <c r="D51" s="55"/>
      <c r="E51" s="55"/>
      <c r="F51" s="55"/>
      <c r="G51" s="55"/>
      <c r="H51" s="55">
        <v>16</v>
      </c>
      <c r="I51" s="57">
        <v>0.13</v>
      </c>
      <c r="J51" s="58">
        <v>115</v>
      </c>
      <c r="K51" s="58">
        <f t="shared" si="0"/>
        <v>1840</v>
      </c>
      <c r="L51" s="58"/>
      <c r="M51" s="59" t="s">
        <v>81</v>
      </c>
    </row>
    <row r="52" ht="39" spans="1:13">
      <c r="A52" s="54">
        <v>9</v>
      </c>
      <c r="B52" s="55" t="s">
        <v>13</v>
      </c>
      <c r="C52" s="61" t="s">
        <v>93</v>
      </c>
      <c r="D52" s="55">
        <v>36</v>
      </c>
      <c r="E52" s="55">
        <v>28</v>
      </c>
      <c r="F52" s="55">
        <v>2920</v>
      </c>
      <c r="G52" s="55">
        <v>5.5</v>
      </c>
      <c r="H52" s="55">
        <v>14</v>
      </c>
      <c r="I52" s="57">
        <v>0.13</v>
      </c>
      <c r="J52" s="58">
        <v>3500</v>
      </c>
      <c r="K52" s="58">
        <f t="shared" si="0"/>
        <v>49000</v>
      </c>
      <c r="L52" s="58"/>
      <c r="M52" s="60" t="s">
        <v>97</v>
      </c>
    </row>
    <row r="53" spans="1:13">
      <c r="A53" s="54"/>
      <c r="B53" s="60" t="s">
        <v>71</v>
      </c>
      <c r="C53" s="55" t="s">
        <v>86</v>
      </c>
      <c r="D53" s="55"/>
      <c r="E53" s="55"/>
      <c r="F53" s="55"/>
      <c r="G53" s="55"/>
      <c r="H53" s="55">
        <v>14</v>
      </c>
      <c r="I53" s="57">
        <v>0.13</v>
      </c>
      <c r="J53" s="58">
        <v>420</v>
      </c>
      <c r="K53" s="58">
        <f t="shared" si="0"/>
        <v>5880</v>
      </c>
      <c r="L53" s="58"/>
      <c r="M53" s="60" t="s">
        <v>73</v>
      </c>
    </row>
    <row r="54" ht="26" spans="1:13">
      <c r="A54" s="54"/>
      <c r="B54" s="60" t="s">
        <v>74</v>
      </c>
      <c r="C54" s="55" t="s">
        <v>32</v>
      </c>
      <c r="D54" s="55"/>
      <c r="E54" s="55"/>
      <c r="F54" s="55"/>
      <c r="G54" s="55"/>
      <c r="H54" s="55">
        <v>14</v>
      </c>
      <c r="I54" s="57">
        <v>0.13</v>
      </c>
      <c r="J54" s="58">
        <v>350</v>
      </c>
      <c r="K54" s="58">
        <f t="shared" si="0"/>
        <v>4900</v>
      </c>
      <c r="L54" s="58"/>
      <c r="M54" s="60" t="s">
        <v>75</v>
      </c>
    </row>
    <row r="55" ht="26" spans="1:13">
      <c r="A55" s="54"/>
      <c r="B55" s="60" t="s">
        <v>76</v>
      </c>
      <c r="C55" s="55" t="s">
        <v>33</v>
      </c>
      <c r="D55" s="55"/>
      <c r="E55" s="55"/>
      <c r="F55" s="55"/>
      <c r="G55" s="55"/>
      <c r="H55" s="55">
        <v>14</v>
      </c>
      <c r="I55" s="57">
        <v>0.13</v>
      </c>
      <c r="J55" s="58">
        <v>135</v>
      </c>
      <c r="K55" s="58">
        <f t="shared" si="0"/>
        <v>1890</v>
      </c>
      <c r="L55" s="58"/>
      <c r="M55" s="60" t="s">
        <v>77</v>
      </c>
    </row>
    <row r="56" ht="65" spans="1:13">
      <c r="A56" s="54"/>
      <c r="B56" s="55" t="s">
        <v>21</v>
      </c>
      <c r="C56" s="60" t="s">
        <v>94</v>
      </c>
      <c r="D56" s="60"/>
      <c r="E56" s="60"/>
      <c r="F56" s="60"/>
      <c r="G56" s="60"/>
      <c r="H56" s="55">
        <v>7</v>
      </c>
      <c r="I56" s="57">
        <v>0.13</v>
      </c>
      <c r="J56" s="58">
        <v>1650</v>
      </c>
      <c r="K56" s="58">
        <f t="shared" si="0"/>
        <v>11550</v>
      </c>
      <c r="L56" s="58"/>
      <c r="M56" s="60" t="s">
        <v>92</v>
      </c>
    </row>
    <row r="57" spans="1:13">
      <c r="A57" s="54"/>
      <c r="B57" s="55" t="s">
        <v>23</v>
      </c>
      <c r="C57" s="55" t="s">
        <v>80</v>
      </c>
      <c r="D57" s="55"/>
      <c r="E57" s="55"/>
      <c r="F57" s="55"/>
      <c r="G57" s="55"/>
      <c r="H57" s="55">
        <v>21</v>
      </c>
      <c r="I57" s="57">
        <v>0.13</v>
      </c>
      <c r="J57" s="58">
        <v>115</v>
      </c>
      <c r="K57" s="58">
        <f t="shared" si="0"/>
        <v>2415</v>
      </c>
      <c r="L57" s="58"/>
      <c r="M57" s="59" t="s">
        <v>81</v>
      </c>
    </row>
    <row r="58" ht="26" spans="1:13">
      <c r="A58" s="54">
        <v>10</v>
      </c>
      <c r="B58" s="55" t="s">
        <v>13</v>
      </c>
      <c r="C58" s="61" t="s">
        <v>98</v>
      </c>
      <c r="D58" s="55">
        <v>18</v>
      </c>
      <c r="E58" s="55">
        <v>10</v>
      </c>
      <c r="F58" s="55">
        <v>2825</v>
      </c>
      <c r="G58" s="55">
        <v>1.1</v>
      </c>
      <c r="H58" s="55">
        <v>2</v>
      </c>
      <c r="I58" s="57">
        <v>0.13</v>
      </c>
      <c r="J58" s="58">
        <v>1260</v>
      </c>
      <c r="K58" s="58">
        <f t="shared" si="0"/>
        <v>2520</v>
      </c>
      <c r="L58" s="58"/>
      <c r="M58" s="59" t="s">
        <v>70</v>
      </c>
    </row>
    <row r="59" spans="1:13">
      <c r="A59" s="54"/>
      <c r="B59" s="60" t="s">
        <v>71</v>
      </c>
      <c r="C59" s="55" t="s">
        <v>72</v>
      </c>
      <c r="D59" s="55"/>
      <c r="E59" s="55"/>
      <c r="F59" s="55"/>
      <c r="G59" s="55"/>
      <c r="H59" s="55">
        <v>2</v>
      </c>
      <c r="I59" s="57">
        <v>0.13</v>
      </c>
      <c r="J59" s="58">
        <v>300</v>
      </c>
      <c r="K59" s="58">
        <f t="shared" si="0"/>
        <v>600</v>
      </c>
      <c r="L59" s="58"/>
      <c r="M59" s="59" t="s">
        <v>73</v>
      </c>
    </row>
    <row r="60" ht="26" spans="1:13">
      <c r="A60" s="54"/>
      <c r="B60" s="60" t="s">
        <v>74</v>
      </c>
      <c r="C60" s="55" t="s">
        <v>32</v>
      </c>
      <c r="D60" s="55"/>
      <c r="E60" s="55"/>
      <c r="F60" s="55"/>
      <c r="G60" s="55"/>
      <c r="H60" s="55">
        <v>2</v>
      </c>
      <c r="I60" s="57">
        <v>0.13</v>
      </c>
      <c r="J60" s="58">
        <v>350</v>
      </c>
      <c r="K60" s="58">
        <f t="shared" si="0"/>
        <v>700</v>
      </c>
      <c r="L60" s="58"/>
      <c r="M60" s="59" t="s">
        <v>75</v>
      </c>
    </row>
    <row r="61" ht="26" spans="1:13">
      <c r="A61" s="54"/>
      <c r="B61" s="60" t="s">
        <v>76</v>
      </c>
      <c r="C61" s="55" t="s">
        <v>33</v>
      </c>
      <c r="D61" s="55"/>
      <c r="E61" s="55"/>
      <c r="F61" s="55"/>
      <c r="G61" s="55"/>
      <c r="H61" s="55">
        <v>2</v>
      </c>
      <c r="I61" s="57">
        <v>0.13</v>
      </c>
      <c r="J61" s="58">
        <v>135</v>
      </c>
      <c r="K61" s="58">
        <f t="shared" si="0"/>
        <v>270</v>
      </c>
      <c r="L61" s="58"/>
      <c r="M61" s="59" t="s">
        <v>77</v>
      </c>
    </row>
    <row r="62" ht="52" spans="1:13">
      <c r="A62" s="54"/>
      <c r="B62" s="55" t="s">
        <v>21</v>
      </c>
      <c r="C62" s="60" t="s">
        <v>99</v>
      </c>
      <c r="D62" s="60"/>
      <c r="E62" s="60"/>
      <c r="F62" s="60"/>
      <c r="G62" s="60"/>
      <c r="H62" s="55">
        <v>1</v>
      </c>
      <c r="I62" s="57">
        <v>0.13</v>
      </c>
      <c r="J62" s="58">
        <v>1100</v>
      </c>
      <c r="K62" s="58">
        <f t="shared" si="0"/>
        <v>1100</v>
      </c>
      <c r="L62" s="58"/>
      <c r="M62" s="59" t="s">
        <v>79</v>
      </c>
    </row>
    <row r="63" spans="1:13">
      <c r="A63" s="54"/>
      <c r="B63" s="55" t="s">
        <v>23</v>
      </c>
      <c r="C63" s="55" t="s">
        <v>80</v>
      </c>
      <c r="D63" s="55"/>
      <c r="E63" s="55"/>
      <c r="F63" s="55"/>
      <c r="G63" s="55"/>
      <c r="H63" s="55">
        <v>3</v>
      </c>
      <c r="I63" s="57">
        <v>0.13</v>
      </c>
      <c r="J63" s="58">
        <v>115</v>
      </c>
      <c r="K63" s="58">
        <f t="shared" si="0"/>
        <v>345</v>
      </c>
      <c r="L63" s="58"/>
      <c r="M63" s="59" t="s">
        <v>81</v>
      </c>
    </row>
    <row r="64" ht="26" spans="1:13">
      <c r="A64" s="54">
        <v>11</v>
      </c>
      <c r="B64" s="55" t="s">
        <v>13</v>
      </c>
      <c r="C64" s="61" t="s">
        <v>100</v>
      </c>
      <c r="D64" s="55">
        <v>8</v>
      </c>
      <c r="E64" s="55">
        <v>23</v>
      </c>
      <c r="F64" s="55">
        <v>2840</v>
      </c>
      <c r="G64" s="55">
        <v>1.5</v>
      </c>
      <c r="H64" s="55">
        <v>2</v>
      </c>
      <c r="I64" s="57">
        <v>0.13</v>
      </c>
      <c r="J64" s="58">
        <v>1350</v>
      </c>
      <c r="K64" s="58">
        <f t="shared" si="0"/>
        <v>2700</v>
      </c>
      <c r="L64" s="58"/>
      <c r="M64" s="59" t="s">
        <v>70</v>
      </c>
    </row>
    <row r="65" spans="1:13">
      <c r="A65" s="54"/>
      <c r="B65" s="60" t="s">
        <v>71</v>
      </c>
      <c r="C65" s="55" t="s">
        <v>72</v>
      </c>
      <c r="D65" s="55"/>
      <c r="E65" s="55"/>
      <c r="F65" s="55"/>
      <c r="G65" s="55"/>
      <c r="H65" s="55">
        <v>2</v>
      </c>
      <c r="I65" s="57">
        <v>0.13</v>
      </c>
      <c r="J65" s="58">
        <v>300</v>
      </c>
      <c r="K65" s="58">
        <f t="shared" si="0"/>
        <v>600</v>
      </c>
      <c r="L65" s="58"/>
      <c r="M65" s="59" t="s">
        <v>73</v>
      </c>
    </row>
    <row r="66" ht="26" spans="1:13">
      <c r="A66" s="54"/>
      <c r="B66" s="60" t="s">
        <v>74</v>
      </c>
      <c r="C66" s="55" t="s">
        <v>32</v>
      </c>
      <c r="D66" s="55"/>
      <c r="E66" s="55"/>
      <c r="F66" s="55"/>
      <c r="G66" s="55"/>
      <c r="H66" s="55">
        <v>2</v>
      </c>
      <c r="I66" s="57">
        <v>0.13</v>
      </c>
      <c r="J66" s="58">
        <v>350</v>
      </c>
      <c r="K66" s="58">
        <f t="shared" ref="K66:K69" si="1">J66*H66</f>
        <v>700</v>
      </c>
      <c r="L66" s="58"/>
      <c r="M66" s="59" t="s">
        <v>75</v>
      </c>
    </row>
    <row r="67" ht="26" spans="1:13">
      <c r="A67" s="54"/>
      <c r="B67" s="60" t="s">
        <v>76</v>
      </c>
      <c r="C67" s="55" t="s">
        <v>33</v>
      </c>
      <c r="D67" s="55"/>
      <c r="E67" s="55"/>
      <c r="F67" s="55"/>
      <c r="G67" s="55"/>
      <c r="H67" s="55">
        <v>2</v>
      </c>
      <c r="I67" s="57">
        <v>0.13</v>
      </c>
      <c r="J67" s="58">
        <v>135</v>
      </c>
      <c r="K67" s="58">
        <f t="shared" si="1"/>
        <v>270</v>
      </c>
      <c r="L67" s="58"/>
      <c r="M67" s="59" t="s">
        <v>77</v>
      </c>
    </row>
    <row r="68" ht="52" spans="1:13">
      <c r="A68" s="54"/>
      <c r="B68" s="55" t="s">
        <v>21</v>
      </c>
      <c r="C68" s="60" t="s">
        <v>101</v>
      </c>
      <c r="D68" s="60"/>
      <c r="E68" s="60"/>
      <c r="F68" s="60"/>
      <c r="G68" s="60"/>
      <c r="H68" s="55">
        <v>1</v>
      </c>
      <c r="I68" s="57">
        <v>0.13</v>
      </c>
      <c r="J68" s="58">
        <v>1100</v>
      </c>
      <c r="K68" s="58">
        <f t="shared" si="1"/>
        <v>1100</v>
      </c>
      <c r="L68" s="58"/>
      <c r="M68" s="59" t="s">
        <v>102</v>
      </c>
    </row>
    <row r="69" spans="1:13">
      <c r="A69" s="54"/>
      <c r="B69" s="55" t="s">
        <v>23</v>
      </c>
      <c r="C69" s="55" t="s">
        <v>80</v>
      </c>
      <c r="D69" s="55"/>
      <c r="E69" s="55"/>
      <c r="F69" s="55"/>
      <c r="G69" s="55"/>
      <c r="H69" s="55">
        <v>3</v>
      </c>
      <c r="I69" s="57">
        <v>0.13</v>
      </c>
      <c r="J69" s="58">
        <v>115</v>
      </c>
      <c r="K69" s="58">
        <f t="shared" si="1"/>
        <v>345</v>
      </c>
      <c r="L69" s="58"/>
      <c r="M69" s="59" t="s">
        <v>81</v>
      </c>
    </row>
  </sheetData>
  <mergeCells count="11">
    <mergeCell ref="A2:A7"/>
    <mergeCell ref="A8:A13"/>
    <mergeCell ref="A14:A19"/>
    <mergeCell ref="A20:A25"/>
    <mergeCell ref="A26:A31"/>
    <mergeCell ref="A32:A38"/>
    <mergeCell ref="A39:A44"/>
    <mergeCell ref="A45:A51"/>
    <mergeCell ref="A52:A57"/>
    <mergeCell ref="A58:A63"/>
    <mergeCell ref="A64:A6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4"/>
  <sheetViews>
    <sheetView zoomScale="85" zoomScaleNormal="85" workbookViewId="0">
      <selection activeCell="G6" sqref="G6"/>
    </sheetView>
  </sheetViews>
  <sheetFormatPr defaultColWidth="8.72727272727273" defaultRowHeight="13"/>
  <cols>
    <col min="1" max="11" width="8.72727272727273" style="38"/>
    <col min="12" max="12" width="5.18181818181818" style="38" customWidth="1"/>
    <col min="13" max="13" width="69.8272727272727" style="38" customWidth="1"/>
    <col min="14" max="14" width="27.1636363636364" style="38" customWidth="1"/>
    <col min="15" max="15" width="46.4090909090909" style="38" customWidth="1"/>
    <col min="16" max="16384" width="8.72727272727273" style="38"/>
  </cols>
  <sheetData>
    <row r="1" ht="26" spans="1:15">
      <c r="A1" s="39" t="s">
        <v>1</v>
      </c>
      <c r="B1" s="40" t="s">
        <v>2</v>
      </c>
      <c r="C1" s="40" t="s">
        <v>3</v>
      </c>
      <c r="D1" s="39" t="s">
        <v>4</v>
      </c>
      <c r="E1" s="39" t="s">
        <v>5</v>
      </c>
      <c r="F1" s="40" t="s">
        <v>6</v>
      </c>
      <c r="G1" s="39" t="s">
        <v>7</v>
      </c>
      <c r="H1" s="40" t="s">
        <v>8</v>
      </c>
      <c r="I1" s="40" t="s">
        <v>9</v>
      </c>
      <c r="J1" s="41" t="s">
        <v>10</v>
      </c>
      <c r="K1" s="42" t="s">
        <v>11</v>
      </c>
      <c r="L1" s="42" t="s">
        <v>26</v>
      </c>
      <c r="M1" s="40" t="s">
        <v>103</v>
      </c>
    </row>
    <row r="2" ht="26" spans="1:15">
      <c r="A2" s="43">
        <v>1</v>
      </c>
      <c r="B2" s="44" t="s">
        <v>13</v>
      </c>
      <c r="C2" s="44" t="s">
        <v>104</v>
      </c>
      <c r="D2" s="43">
        <v>65</v>
      </c>
      <c r="E2" s="43">
        <v>20</v>
      </c>
      <c r="F2" s="45"/>
      <c r="G2" s="46">
        <v>7.5</v>
      </c>
      <c r="H2" s="43">
        <v>3</v>
      </c>
      <c r="I2" s="47">
        <v>0.13</v>
      </c>
      <c r="J2" s="43">
        <v>3200</v>
      </c>
      <c r="K2" s="43">
        <v>9600</v>
      </c>
      <c r="L2" s="48" t="s">
        <v>105</v>
      </c>
      <c r="M2" s="49" t="s">
        <v>106</v>
      </c>
      <c r="N2" s="50"/>
      <c r="O2" s="50"/>
    </row>
    <row r="3" ht="26" spans="1:15">
      <c r="A3" s="51"/>
      <c r="B3" s="44" t="s">
        <v>15</v>
      </c>
      <c r="C3" s="44" t="s">
        <v>107</v>
      </c>
      <c r="D3" s="49"/>
      <c r="E3" s="49"/>
      <c r="F3" s="45"/>
      <c r="G3" s="49"/>
      <c r="H3" s="43">
        <v>3</v>
      </c>
      <c r="I3" s="47">
        <v>0.13</v>
      </c>
      <c r="J3" s="43">
        <v>500</v>
      </c>
      <c r="K3" s="43">
        <v>1500</v>
      </c>
      <c r="L3" s="48" t="s">
        <v>105</v>
      </c>
      <c r="M3" s="51" t="s">
        <v>108</v>
      </c>
      <c r="N3" s="50"/>
      <c r="O3" s="50"/>
    </row>
    <row r="4" ht="39" spans="1:15">
      <c r="A4" s="51"/>
      <c r="B4" s="44" t="s">
        <v>109</v>
      </c>
      <c r="C4" s="44" t="s">
        <v>110</v>
      </c>
      <c r="D4" s="49"/>
      <c r="E4" s="49"/>
      <c r="F4" s="45"/>
      <c r="G4" s="49"/>
      <c r="H4" s="43">
        <v>3</v>
      </c>
      <c r="I4" s="47">
        <v>0.13</v>
      </c>
      <c r="J4" s="43">
        <v>650</v>
      </c>
      <c r="K4" s="43">
        <v>1950</v>
      </c>
      <c r="L4" s="48" t="s">
        <v>105</v>
      </c>
      <c r="M4" s="49" t="s">
        <v>111</v>
      </c>
      <c r="N4" s="50"/>
      <c r="O4" s="50"/>
    </row>
    <row r="5" ht="26" spans="1:15">
      <c r="A5" s="51"/>
      <c r="B5" s="44" t="s">
        <v>112</v>
      </c>
      <c r="C5" s="44" t="s">
        <v>113</v>
      </c>
      <c r="D5" s="49"/>
      <c r="E5" s="49"/>
      <c r="F5" s="45"/>
      <c r="G5" s="49"/>
      <c r="H5" s="43">
        <v>3</v>
      </c>
      <c r="I5" s="47">
        <v>0.13</v>
      </c>
      <c r="J5" s="43">
        <v>150</v>
      </c>
      <c r="K5" s="43">
        <v>450</v>
      </c>
      <c r="L5" s="48" t="s">
        <v>105</v>
      </c>
      <c r="M5" s="49" t="s">
        <v>114</v>
      </c>
      <c r="N5" s="50"/>
      <c r="O5" s="50"/>
    </row>
    <row r="6" ht="65" spans="1:15">
      <c r="A6" s="51"/>
      <c r="B6" s="44" t="s">
        <v>21</v>
      </c>
      <c r="C6" s="44" t="s">
        <v>115</v>
      </c>
      <c r="D6" s="49"/>
      <c r="E6" s="49"/>
      <c r="F6" s="45"/>
      <c r="G6" s="49"/>
      <c r="H6" s="43">
        <v>1</v>
      </c>
      <c r="I6" s="47">
        <v>0.13</v>
      </c>
      <c r="J6" s="43">
        <v>3700</v>
      </c>
      <c r="K6" s="43">
        <v>3700</v>
      </c>
      <c r="L6" s="48" t="s">
        <v>105</v>
      </c>
      <c r="M6" s="49" t="s">
        <v>116</v>
      </c>
      <c r="N6" s="50"/>
      <c r="O6" s="50"/>
    </row>
    <row r="7" ht="26" spans="1:15">
      <c r="A7" s="43">
        <v>2</v>
      </c>
      <c r="B7" s="44" t="s">
        <v>13</v>
      </c>
      <c r="C7" s="44" t="s">
        <v>117</v>
      </c>
      <c r="D7" s="43">
        <v>50</v>
      </c>
      <c r="E7" s="43">
        <v>25</v>
      </c>
      <c r="F7" s="45"/>
      <c r="G7" s="46">
        <v>7.5</v>
      </c>
      <c r="H7" s="43">
        <v>2</v>
      </c>
      <c r="I7" s="47">
        <v>0.13</v>
      </c>
      <c r="J7" s="43">
        <v>2900</v>
      </c>
      <c r="K7" s="43">
        <v>5800</v>
      </c>
      <c r="L7" s="48" t="s">
        <v>105</v>
      </c>
      <c r="M7" s="49" t="s">
        <v>106</v>
      </c>
      <c r="N7" s="50"/>
      <c r="O7" s="50"/>
    </row>
    <row r="8" ht="26" spans="1:15">
      <c r="A8" s="51"/>
      <c r="B8" s="44" t="s">
        <v>15</v>
      </c>
      <c r="C8" s="44" t="s">
        <v>118</v>
      </c>
      <c r="D8" s="49"/>
      <c r="E8" s="49"/>
      <c r="F8" s="45"/>
      <c r="G8" s="49"/>
      <c r="H8" s="43">
        <v>2</v>
      </c>
      <c r="I8" s="47">
        <v>0.13</v>
      </c>
      <c r="J8" s="43">
        <v>400</v>
      </c>
      <c r="K8" s="43">
        <v>800</v>
      </c>
      <c r="L8" s="48" t="s">
        <v>105</v>
      </c>
      <c r="M8" s="49" t="s">
        <v>114</v>
      </c>
      <c r="N8" s="50"/>
      <c r="O8" s="50"/>
    </row>
    <row r="9" ht="39" spans="1:15">
      <c r="A9" s="51"/>
      <c r="B9" s="44" t="s">
        <v>109</v>
      </c>
      <c r="C9" s="44" t="s">
        <v>110</v>
      </c>
      <c r="D9" s="49"/>
      <c r="E9" s="49"/>
      <c r="F9" s="45"/>
      <c r="G9" s="49"/>
      <c r="H9" s="43">
        <v>2</v>
      </c>
      <c r="I9" s="47">
        <v>0.13</v>
      </c>
      <c r="J9" s="43">
        <v>650</v>
      </c>
      <c r="K9" s="43">
        <v>1300</v>
      </c>
      <c r="L9" s="48" t="s">
        <v>105</v>
      </c>
      <c r="M9" s="49" t="s">
        <v>111</v>
      </c>
      <c r="N9" s="50"/>
      <c r="O9" s="50"/>
    </row>
    <row r="10" ht="26" spans="1:15">
      <c r="A10" s="51"/>
      <c r="B10" s="44" t="s">
        <v>112</v>
      </c>
      <c r="C10" s="44" t="s">
        <v>113</v>
      </c>
      <c r="D10" s="49"/>
      <c r="E10" s="49"/>
      <c r="F10" s="45"/>
      <c r="G10" s="49"/>
      <c r="H10" s="43">
        <v>2</v>
      </c>
      <c r="I10" s="47">
        <v>0.13</v>
      </c>
      <c r="J10" s="43">
        <v>150</v>
      </c>
      <c r="K10" s="43">
        <v>300</v>
      </c>
      <c r="L10" s="48" t="s">
        <v>105</v>
      </c>
      <c r="M10" s="51" t="s">
        <v>108</v>
      </c>
      <c r="N10" s="50"/>
      <c r="O10" s="50"/>
    </row>
    <row r="11" ht="65" spans="1:15">
      <c r="A11" s="51"/>
      <c r="B11" s="44" t="s">
        <v>21</v>
      </c>
      <c r="C11" s="44" t="s">
        <v>119</v>
      </c>
      <c r="D11" s="49"/>
      <c r="E11" s="49"/>
      <c r="F11" s="45"/>
      <c r="G11" s="49"/>
      <c r="H11" s="43">
        <v>1</v>
      </c>
      <c r="I11" s="47">
        <v>0.13</v>
      </c>
      <c r="J11" s="43">
        <v>3700</v>
      </c>
      <c r="K11" s="43">
        <v>3700</v>
      </c>
      <c r="L11" s="48" t="s">
        <v>105</v>
      </c>
      <c r="M11" s="49" t="s">
        <v>120</v>
      </c>
      <c r="N11" s="50"/>
      <c r="O11" s="50"/>
    </row>
    <row r="12" ht="26" spans="1:15">
      <c r="A12" s="43">
        <v>3</v>
      </c>
      <c r="B12" s="44" t="s">
        <v>13</v>
      </c>
      <c r="C12" s="44" t="s">
        <v>117</v>
      </c>
      <c r="D12" s="43">
        <v>50</v>
      </c>
      <c r="E12" s="43">
        <v>25</v>
      </c>
      <c r="F12" s="45"/>
      <c r="G12" s="46">
        <v>7.5</v>
      </c>
      <c r="H12" s="43">
        <v>2</v>
      </c>
      <c r="I12" s="47">
        <v>0.13</v>
      </c>
      <c r="J12" s="43">
        <v>2900</v>
      </c>
      <c r="K12" s="43">
        <v>5800</v>
      </c>
      <c r="L12" s="48" t="s">
        <v>105</v>
      </c>
      <c r="M12" s="49" t="s">
        <v>106</v>
      </c>
      <c r="N12" s="50"/>
      <c r="O12" s="50"/>
    </row>
    <row r="13" ht="26" spans="1:15">
      <c r="A13" s="51"/>
      <c r="B13" s="44" t="s">
        <v>15</v>
      </c>
      <c r="C13" s="44" t="s">
        <v>118</v>
      </c>
      <c r="D13" s="49"/>
      <c r="E13" s="49"/>
      <c r="F13" s="45"/>
      <c r="G13" s="49"/>
      <c r="H13" s="43">
        <v>2</v>
      </c>
      <c r="I13" s="47">
        <v>0.13</v>
      </c>
      <c r="J13" s="43">
        <v>400</v>
      </c>
      <c r="K13" s="43">
        <v>800</v>
      </c>
      <c r="L13" s="48" t="s">
        <v>105</v>
      </c>
      <c r="M13" s="51" t="s">
        <v>108</v>
      </c>
      <c r="N13" s="50"/>
      <c r="O13" s="50"/>
    </row>
    <row r="14" ht="39" spans="1:15">
      <c r="A14" s="51"/>
      <c r="B14" s="44" t="s">
        <v>109</v>
      </c>
      <c r="C14" s="44" t="s">
        <v>110</v>
      </c>
      <c r="D14" s="49"/>
      <c r="E14" s="49"/>
      <c r="F14" s="45"/>
      <c r="G14" s="49"/>
      <c r="H14" s="43">
        <v>2</v>
      </c>
      <c r="I14" s="47">
        <v>0.13</v>
      </c>
      <c r="J14" s="43">
        <v>650</v>
      </c>
      <c r="K14" s="43">
        <v>1300</v>
      </c>
      <c r="L14" s="48" t="s">
        <v>105</v>
      </c>
      <c r="M14" s="49" t="s">
        <v>111</v>
      </c>
      <c r="N14" s="50"/>
      <c r="O14" s="50"/>
    </row>
    <row r="15" ht="26" spans="1:15">
      <c r="A15" s="51"/>
      <c r="B15" s="44" t="s">
        <v>112</v>
      </c>
      <c r="C15" s="44" t="s">
        <v>113</v>
      </c>
      <c r="D15" s="49"/>
      <c r="E15" s="49"/>
      <c r="F15" s="45"/>
      <c r="G15" s="49"/>
      <c r="H15" s="43">
        <v>2</v>
      </c>
      <c r="I15" s="47">
        <v>0.13</v>
      </c>
      <c r="J15" s="43">
        <v>150</v>
      </c>
      <c r="K15" s="43">
        <v>300</v>
      </c>
      <c r="L15" s="48" t="s">
        <v>105</v>
      </c>
      <c r="M15" s="49" t="s">
        <v>114</v>
      </c>
      <c r="N15" s="50"/>
      <c r="O15" s="50"/>
    </row>
    <row r="16" ht="65" spans="1:15">
      <c r="A16" s="51"/>
      <c r="B16" s="44" t="s">
        <v>21</v>
      </c>
      <c r="C16" s="44" t="s">
        <v>119</v>
      </c>
      <c r="D16" s="49"/>
      <c r="E16" s="49"/>
      <c r="F16" s="45"/>
      <c r="G16" s="49"/>
      <c r="H16" s="43">
        <v>1</v>
      </c>
      <c r="I16" s="47">
        <v>0.13</v>
      </c>
      <c r="J16" s="43">
        <v>2500</v>
      </c>
      <c r="K16" s="43">
        <v>2500</v>
      </c>
      <c r="L16" s="48" t="s">
        <v>105</v>
      </c>
      <c r="M16" s="49" t="s">
        <v>121</v>
      </c>
      <c r="N16" s="50"/>
      <c r="O16" s="50"/>
    </row>
    <row r="17" ht="26" spans="1:15">
      <c r="A17" s="43">
        <v>4</v>
      </c>
      <c r="B17" s="44" t="s">
        <v>13</v>
      </c>
      <c r="C17" s="44" t="s">
        <v>122</v>
      </c>
      <c r="D17" s="43">
        <v>25</v>
      </c>
      <c r="E17" s="43">
        <v>18</v>
      </c>
      <c r="F17" s="45"/>
      <c r="G17" s="43">
        <v>3</v>
      </c>
      <c r="H17" s="43">
        <v>4</v>
      </c>
      <c r="I17" s="47">
        <v>0.13</v>
      </c>
      <c r="J17" s="43">
        <v>1550</v>
      </c>
      <c r="K17" s="43">
        <v>6200</v>
      </c>
      <c r="L17" s="48" t="s">
        <v>105</v>
      </c>
      <c r="M17" s="49" t="s">
        <v>106</v>
      </c>
      <c r="N17" s="50"/>
      <c r="O17" s="50"/>
    </row>
    <row r="18" ht="26" spans="1:15">
      <c r="A18" s="51"/>
      <c r="B18" s="44" t="s">
        <v>15</v>
      </c>
      <c r="C18" s="44" t="s">
        <v>123</v>
      </c>
      <c r="D18" s="49"/>
      <c r="E18" s="49"/>
      <c r="F18" s="45"/>
      <c r="G18" s="49"/>
      <c r="H18" s="43">
        <v>4</v>
      </c>
      <c r="I18" s="47">
        <v>0.13</v>
      </c>
      <c r="J18" s="43">
        <v>250</v>
      </c>
      <c r="K18" s="43">
        <v>1000</v>
      </c>
      <c r="L18" s="48" t="s">
        <v>105</v>
      </c>
      <c r="M18" s="51" t="s">
        <v>108</v>
      </c>
      <c r="N18" s="50"/>
      <c r="O18" s="50"/>
    </row>
    <row r="19" ht="39" spans="1:15">
      <c r="A19" s="51"/>
      <c r="B19" s="44" t="s">
        <v>109</v>
      </c>
      <c r="C19" s="44" t="s">
        <v>110</v>
      </c>
      <c r="D19" s="49"/>
      <c r="E19" s="49"/>
      <c r="F19" s="45"/>
      <c r="G19" s="49"/>
      <c r="H19" s="43">
        <v>4</v>
      </c>
      <c r="I19" s="47">
        <v>0.13</v>
      </c>
      <c r="J19" s="43">
        <v>450</v>
      </c>
      <c r="K19" s="43">
        <v>1800</v>
      </c>
      <c r="L19" s="48" t="s">
        <v>105</v>
      </c>
      <c r="M19" s="49" t="s">
        <v>124</v>
      </c>
      <c r="N19" s="50"/>
      <c r="O19" s="50"/>
    </row>
    <row r="20" ht="26" spans="1:15">
      <c r="A20" s="51"/>
      <c r="B20" s="44" t="s">
        <v>112</v>
      </c>
      <c r="C20" s="44" t="s">
        <v>113</v>
      </c>
      <c r="D20" s="49"/>
      <c r="E20" s="49"/>
      <c r="F20" s="45"/>
      <c r="G20" s="49"/>
      <c r="H20" s="43">
        <v>4</v>
      </c>
      <c r="I20" s="47">
        <v>0.13</v>
      </c>
      <c r="J20" s="43">
        <v>150</v>
      </c>
      <c r="K20" s="43">
        <v>600</v>
      </c>
      <c r="L20" s="48" t="s">
        <v>105</v>
      </c>
      <c r="M20" s="49" t="s">
        <v>114</v>
      </c>
      <c r="N20" s="50"/>
      <c r="O20" s="50"/>
    </row>
    <row r="21" ht="65" spans="1:15">
      <c r="A21" s="51"/>
      <c r="B21" s="44" t="s">
        <v>21</v>
      </c>
      <c r="C21" s="44" t="s">
        <v>125</v>
      </c>
      <c r="D21" s="49"/>
      <c r="E21" s="49"/>
      <c r="F21" s="45"/>
      <c r="G21" s="49"/>
      <c r="H21" s="43">
        <v>2</v>
      </c>
      <c r="I21" s="47">
        <v>0.13</v>
      </c>
      <c r="J21" s="43">
        <v>1250</v>
      </c>
      <c r="K21" s="43">
        <v>2500</v>
      </c>
      <c r="L21" s="48" t="s">
        <v>105</v>
      </c>
      <c r="M21" s="49" t="s">
        <v>126</v>
      </c>
      <c r="N21" s="50"/>
      <c r="O21" s="50"/>
    </row>
    <row r="22" ht="26" spans="1:15">
      <c r="A22" s="43">
        <v>5</v>
      </c>
      <c r="B22" s="44" t="s">
        <v>13</v>
      </c>
      <c r="C22" s="44" t="s">
        <v>127</v>
      </c>
      <c r="D22" s="43">
        <v>15</v>
      </c>
      <c r="E22" s="43">
        <v>18</v>
      </c>
      <c r="F22" s="45"/>
      <c r="G22" s="46">
        <v>2.2</v>
      </c>
      <c r="H22" s="43">
        <v>4</v>
      </c>
      <c r="I22" s="47">
        <v>0.13</v>
      </c>
      <c r="J22" s="43">
        <v>1200</v>
      </c>
      <c r="K22" s="43">
        <v>4800</v>
      </c>
      <c r="L22" s="48" t="s">
        <v>105</v>
      </c>
      <c r="M22" s="49" t="s">
        <v>106</v>
      </c>
      <c r="N22" s="50"/>
      <c r="O22" s="50"/>
    </row>
    <row r="23" ht="26" spans="1:15">
      <c r="A23" s="51"/>
      <c r="B23" s="44" t="s">
        <v>15</v>
      </c>
      <c r="C23" s="44" t="s">
        <v>128</v>
      </c>
      <c r="D23" s="49"/>
      <c r="E23" s="49"/>
      <c r="F23" s="45"/>
      <c r="G23" s="49"/>
      <c r="H23" s="43">
        <v>4</v>
      </c>
      <c r="I23" s="47">
        <v>0.13</v>
      </c>
      <c r="J23" s="43">
        <v>200</v>
      </c>
      <c r="K23" s="43">
        <v>800</v>
      </c>
      <c r="L23" s="48" t="s">
        <v>105</v>
      </c>
      <c r="M23" s="51" t="s">
        <v>108</v>
      </c>
      <c r="N23" s="50"/>
      <c r="O23" s="50"/>
    </row>
    <row r="24" ht="39" spans="1:15">
      <c r="A24" s="51"/>
      <c r="B24" s="44" t="s">
        <v>109</v>
      </c>
      <c r="C24" s="44" t="s">
        <v>110</v>
      </c>
      <c r="D24" s="49"/>
      <c r="E24" s="49"/>
      <c r="F24" s="45"/>
      <c r="G24" s="49"/>
      <c r="H24" s="43">
        <v>4</v>
      </c>
      <c r="I24" s="47">
        <v>0.13</v>
      </c>
      <c r="J24" s="43">
        <v>450</v>
      </c>
      <c r="K24" s="43">
        <v>1800</v>
      </c>
      <c r="L24" s="48" t="s">
        <v>105</v>
      </c>
      <c r="M24" s="49" t="s">
        <v>124</v>
      </c>
      <c r="N24" s="50"/>
      <c r="O24" s="50"/>
    </row>
    <row r="25" ht="26" spans="1:15">
      <c r="A25" s="51"/>
      <c r="B25" s="44" t="s">
        <v>112</v>
      </c>
      <c r="C25" s="44" t="s">
        <v>113</v>
      </c>
      <c r="D25" s="49"/>
      <c r="E25" s="49"/>
      <c r="F25" s="45"/>
      <c r="G25" s="49"/>
      <c r="H25" s="43">
        <v>4</v>
      </c>
      <c r="I25" s="47">
        <v>0.13</v>
      </c>
      <c r="J25" s="43">
        <v>150</v>
      </c>
      <c r="K25" s="43">
        <v>600</v>
      </c>
      <c r="L25" s="48" t="s">
        <v>105</v>
      </c>
      <c r="M25" s="49" t="s">
        <v>114</v>
      </c>
      <c r="N25" s="50"/>
      <c r="O25" s="50"/>
    </row>
    <row r="26" ht="65" spans="1:15">
      <c r="A26" s="51"/>
      <c r="B26" s="44" t="s">
        <v>21</v>
      </c>
      <c r="C26" s="44" t="s">
        <v>129</v>
      </c>
      <c r="D26" s="49"/>
      <c r="E26" s="49"/>
      <c r="F26" s="45"/>
      <c r="G26" s="49"/>
      <c r="H26" s="43">
        <v>2</v>
      </c>
      <c r="I26" s="47">
        <v>0.13</v>
      </c>
      <c r="J26" s="43">
        <v>1250</v>
      </c>
      <c r="K26" s="43">
        <v>2500</v>
      </c>
      <c r="L26" s="48" t="s">
        <v>105</v>
      </c>
      <c r="M26" s="49" t="s">
        <v>121</v>
      </c>
      <c r="N26" s="50"/>
      <c r="O26" s="50"/>
    </row>
    <row r="27" ht="26" spans="1:15">
      <c r="A27" s="43">
        <v>6</v>
      </c>
      <c r="B27" s="44" t="s">
        <v>13</v>
      </c>
      <c r="C27" s="44" t="s">
        <v>130</v>
      </c>
      <c r="D27" s="43">
        <v>10</v>
      </c>
      <c r="E27" s="43">
        <v>18</v>
      </c>
      <c r="F27" s="45"/>
      <c r="G27" s="46">
        <v>2.2</v>
      </c>
      <c r="H27" s="43">
        <v>2</v>
      </c>
      <c r="I27" s="47">
        <v>0.13</v>
      </c>
      <c r="J27" s="43">
        <v>1200</v>
      </c>
      <c r="K27" s="43">
        <v>2400</v>
      </c>
      <c r="L27" s="48" t="s">
        <v>105</v>
      </c>
      <c r="M27" s="49" t="s">
        <v>106</v>
      </c>
      <c r="N27" s="50"/>
      <c r="O27" s="50"/>
    </row>
    <row r="28" ht="26" spans="1:15">
      <c r="A28" s="43"/>
      <c r="B28" s="44" t="s">
        <v>15</v>
      </c>
      <c r="C28" s="44" t="s">
        <v>128</v>
      </c>
      <c r="D28" s="49"/>
      <c r="E28" s="49"/>
      <c r="F28" s="45"/>
      <c r="G28" s="49"/>
      <c r="H28" s="43">
        <v>2</v>
      </c>
      <c r="I28" s="47">
        <v>0.13</v>
      </c>
      <c r="J28" s="43">
        <v>200</v>
      </c>
      <c r="K28" s="43">
        <v>400</v>
      </c>
      <c r="L28" s="48" t="s">
        <v>105</v>
      </c>
      <c r="M28" s="51" t="s">
        <v>108</v>
      </c>
      <c r="N28" s="50"/>
      <c r="O28" s="50"/>
    </row>
    <row r="29" ht="39" spans="1:15">
      <c r="A29" s="43"/>
      <c r="B29" s="44" t="s">
        <v>109</v>
      </c>
      <c r="C29" s="44" t="s">
        <v>110</v>
      </c>
      <c r="D29" s="49"/>
      <c r="E29" s="49"/>
      <c r="F29" s="45"/>
      <c r="G29" s="49"/>
      <c r="H29" s="43">
        <v>2</v>
      </c>
      <c r="I29" s="47">
        <v>0.13</v>
      </c>
      <c r="J29" s="43">
        <v>450</v>
      </c>
      <c r="K29" s="43">
        <v>900</v>
      </c>
      <c r="L29" s="48" t="s">
        <v>105</v>
      </c>
      <c r="M29" s="49" t="s">
        <v>124</v>
      </c>
      <c r="N29" s="50"/>
      <c r="O29" s="50"/>
    </row>
    <row r="30" ht="26" spans="1:15">
      <c r="A30" s="43"/>
      <c r="B30" s="44" t="s">
        <v>112</v>
      </c>
      <c r="C30" s="44" t="s">
        <v>113</v>
      </c>
      <c r="D30" s="49"/>
      <c r="E30" s="49"/>
      <c r="F30" s="45"/>
      <c r="G30" s="49"/>
      <c r="H30" s="43">
        <v>2</v>
      </c>
      <c r="I30" s="47">
        <v>0.13</v>
      </c>
      <c r="J30" s="43">
        <v>150</v>
      </c>
      <c r="K30" s="43">
        <v>300</v>
      </c>
      <c r="L30" s="48" t="s">
        <v>105</v>
      </c>
      <c r="M30" s="49" t="s">
        <v>114</v>
      </c>
      <c r="N30" s="50"/>
      <c r="O30" s="50"/>
    </row>
    <row r="31" ht="65" spans="1:15">
      <c r="A31" s="43"/>
      <c r="B31" s="44" t="s">
        <v>21</v>
      </c>
      <c r="C31" s="44" t="s">
        <v>129</v>
      </c>
      <c r="D31" s="49"/>
      <c r="E31" s="49"/>
      <c r="F31" s="45"/>
      <c r="G31" s="49"/>
      <c r="H31" s="44" t="s">
        <v>131</v>
      </c>
      <c r="I31" s="47">
        <v>0.13</v>
      </c>
      <c r="J31" s="43">
        <v>1250</v>
      </c>
      <c r="K31" s="43">
        <v>1250</v>
      </c>
      <c r="L31" s="48" t="s">
        <v>105</v>
      </c>
      <c r="M31" s="49" t="s">
        <v>121</v>
      </c>
      <c r="N31" s="50"/>
      <c r="O31" s="50"/>
    </row>
    <row r="32" ht="26" spans="1:15">
      <c r="A32" s="43">
        <v>7</v>
      </c>
      <c r="B32" s="44" t="s">
        <v>13</v>
      </c>
      <c r="C32" s="44" t="s">
        <v>104</v>
      </c>
      <c r="D32" s="43">
        <v>65</v>
      </c>
      <c r="E32" s="43">
        <v>20</v>
      </c>
      <c r="F32" s="45"/>
      <c r="G32" s="46">
        <v>7.5</v>
      </c>
      <c r="H32" s="43">
        <v>3</v>
      </c>
      <c r="I32" s="47">
        <v>0.13</v>
      </c>
      <c r="J32" s="43">
        <v>3200</v>
      </c>
      <c r="K32" s="43">
        <v>9600</v>
      </c>
      <c r="L32" s="48" t="s">
        <v>105</v>
      </c>
      <c r="M32" s="49" t="s">
        <v>106</v>
      </c>
      <c r="N32" s="50"/>
      <c r="O32" s="50"/>
    </row>
    <row r="33" ht="26" spans="1:15">
      <c r="A33" s="51"/>
      <c r="B33" s="44" t="s">
        <v>15</v>
      </c>
      <c r="C33" s="44" t="s">
        <v>132</v>
      </c>
      <c r="D33" s="49"/>
      <c r="E33" s="49"/>
      <c r="F33" s="45"/>
      <c r="G33" s="49"/>
      <c r="H33" s="43">
        <v>3</v>
      </c>
      <c r="I33" s="47">
        <v>0.13</v>
      </c>
      <c r="J33" s="43">
        <v>500</v>
      </c>
      <c r="K33" s="43">
        <v>1500</v>
      </c>
      <c r="L33" s="48" t="s">
        <v>105</v>
      </c>
      <c r="M33" s="51" t="s">
        <v>108</v>
      </c>
      <c r="N33" s="50"/>
      <c r="O33" s="50"/>
    </row>
    <row r="34" ht="39" spans="1:15">
      <c r="A34" s="51"/>
      <c r="B34" s="44" t="s">
        <v>109</v>
      </c>
      <c r="C34" s="44" t="s">
        <v>110</v>
      </c>
      <c r="D34" s="49"/>
      <c r="E34" s="49"/>
      <c r="F34" s="45"/>
      <c r="G34" s="49"/>
      <c r="H34" s="43">
        <v>3</v>
      </c>
      <c r="I34" s="47">
        <v>0.13</v>
      </c>
      <c r="J34" s="43">
        <v>650</v>
      </c>
      <c r="K34" s="43">
        <v>1950</v>
      </c>
      <c r="L34" s="48" t="s">
        <v>105</v>
      </c>
      <c r="M34" s="49" t="s">
        <v>124</v>
      </c>
      <c r="N34" s="50"/>
      <c r="O34" s="50"/>
    </row>
    <row r="35" ht="26" spans="1:15">
      <c r="A35" s="51"/>
      <c r="B35" s="44" t="s">
        <v>112</v>
      </c>
      <c r="C35" s="44" t="s">
        <v>113</v>
      </c>
      <c r="D35" s="49"/>
      <c r="E35" s="49"/>
      <c r="F35" s="45"/>
      <c r="G35" s="49"/>
      <c r="H35" s="43">
        <v>3</v>
      </c>
      <c r="I35" s="47">
        <v>0.13</v>
      </c>
      <c r="J35" s="43">
        <v>150</v>
      </c>
      <c r="K35" s="43">
        <v>450</v>
      </c>
      <c r="L35" s="48" t="s">
        <v>105</v>
      </c>
      <c r="M35" s="49" t="s">
        <v>114</v>
      </c>
      <c r="N35" s="50"/>
      <c r="O35" s="50"/>
    </row>
    <row r="36" ht="65" spans="1:15">
      <c r="A36" s="51"/>
      <c r="B36" s="44" t="s">
        <v>21</v>
      </c>
      <c r="C36" s="44" t="s">
        <v>119</v>
      </c>
      <c r="D36" s="49"/>
      <c r="E36" s="49"/>
      <c r="F36" s="45"/>
      <c r="G36" s="49"/>
      <c r="H36" s="43">
        <v>1</v>
      </c>
      <c r="I36" s="47">
        <v>0.13</v>
      </c>
      <c r="J36" s="43">
        <v>2500</v>
      </c>
      <c r="K36" s="43">
        <v>2500</v>
      </c>
      <c r="L36" s="48" t="s">
        <v>105</v>
      </c>
      <c r="M36" s="49" t="s">
        <v>121</v>
      </c>
      <c r="N36" s="50"/>
      <c r="O36" s="50"/>
    </row>
    <row r="37" ht="26" spans="1:15">
      <c r="A37" s="43">
        <v>8</v>
      </c>
      <c r="B37" s="44" t="s">
        <v>13</v>
      </c>
      <c r="C37" s="44" t="s">
        <v>133</v>
      </c>
      <c r="D37" s="43">
        <v>40</v>
      </c>
      <c r="E37" s="43">
        <v>20</v>
      </c>
      <c r="F37" s="45"/>
      <c r="G37" s="43">
        <v>4</v>
      </c>
      <c r="H37" s="43">
        <v>2</v>
      </c>
      <c r="I37" s="47">
        <v>0.13</v>
      </c>
      <c r="J37" s="43">
        <v>1850</v>
      </c>
      <c r="K37" s="43">
        <v>3700</v>
      </c>
      <c r="L37" s="48" t="s">
        <v>105</v>
      </c>
      <c r="M37" s="49" t="s">
        <v>106</v>
      </c>
      <c r="N37" s="50"/>
      <c r="O37" s="50"/>
    </row>
    <row r="38" ht="26" spans="1:15">
      <c r="A38" s="51"/>
      <c r="B38" s="44" t="s">
        <v>15</v>
      </c>
      <c r="C38" s="44" t="s">
        <v>123</v>
      </c>
      <c r="D38" s="49"/>
      <c r="E38" s="49"/>
      <c r="F38" s="45"/>
      <c r="G38" s="49"/>
      <c r="H38" s="43">
        <v>2</v>
      </c>
      <c r="I38" s="47">
        <v>0.13</v>
      </c>
      <c r="J38" s="43">
        <v>250</v>
      </c>
      <c r="K38" s="43">
        <v>500</v>
      </c>
      <c r="L38" s="48" t="s">
        <v>105</v>
      </c>
      <c r="M38" s="51" t="s">
        <v>108</v>
      </c>
      <c r="N38" s="50"/>
      <c r="O38" s="50"/>
    </row>
    <row r="39" ht="39" spans="1:15">
      <c r="A39" s="51"/>
      <c r="B39" s="44" t="s">
        <v>109</v>
      </c>
      <c r="C39" s="44" t="s">
        <v>110</v>
      </c>
      <c r="D39" s="49"/>
      <c r="E39" s="49"/>
      <c r="F39" s="45"/>
      <c r="G39" s="49"/>
      <c r="H39" s="43">
        <v>2</v>
      </c>
      <c r="I39" s="47">
        <v>0.13</v>
      </c>
      <c r="J39" s="43">
        <v>450</v>
      </c>
      <c r="K39" s="43">
        <v>900</v>
      </c>
      <c r="L39" s="48" t="s">
        <v>105</v>
      </c>
      <c r="M39" s="49" t="s">
        <v>124</v>
      </c>
      <c r="N39" s="50"/>
      <c r="O39" s="50"/>
    </row>
    <row r="40" ht="26" spans="1:15">
      <c r="A40" s="51"/>
      <c r="B40" s="44" t="s">
        <v>112</v>
      </c>
      <c r="C40" s="44" t="s">
        <v>113</v>
      </c>
      <c r="D40" s="49"/>
      <c r="E40" s="49"/>
      <c r="F40" s="45"/>
      <c r="G40" s="49"/>
      <c r="H40" s="43">
        <v>2</v>
      </c>
      <c r="I40" s="47">
        <v>0.13</v>
      </c>
      <c r="J40" s="43">
        <v>150</v>
      </c>
      <c r="K40" s="43">
        <v>300</v>
      </c>
      <c r="L40" s="48" t="s">
        <v>105</v>
      </c>
      <c r="M40" s="49" t="s">
        <v>114</v>
      </c>
      <c r="N40" s="50"/>
      <c r="O40" s="50"/>
    </row>
    <row r="41" ht="65" spans="1:15">
      <c r="A41" s="51"/>
      <c r="B41" s="44" t="s">
        <v>21</v>
      </c>
      <c r="C41" s="44" t="s">
        <v>134</v>
      </c>
      <c r="D41" s="49"/>
      <c r="E41" s="49"/>
      <c r="F41" s="45"/>
      <c r="G41" s="49"/>
      <c r="H41" s="43">
        <v>1</v>
      </c>
      <c r="I41" s="47">
        <v>0.13</v>
      </c>
      <c r="J41" s="43">
        <v>1250</v>
      </c>
      <c r="K41" s="43">
        <v>1250</v>
      </c>
      <c r="L41" s="48" t="s">
        <v>105</v>
      </c>
      <c r="M41" s="49" t="s">
        <v>121</v>
      </c>
      <c r="N41" s="50"/>
      <c r="O41" s="50"/>
    </row>
    <row r="42" ht="26" spans="1:15">
      <c r="A42" s="43">
        <v>9</v>
      </c>
      <c r="B42" s="44" t="s">
        <v>13</v>
      </c>
      <c r="C42" s="44" t="s">
        <v>135</v>
      </c>
      <c r="D42" s="43">
        <v>30</v>
      </c>
      <c r="E42" s="43">
        <v>20</v>
      </c>
      <c r="F42" s="45"/>
      <c r="G42" s="43">
        <v>3</v>
      </c>
      <c r="H42" s="43">
        <v>6</v>
      </c>
      <c r="I42" s="47">
        <v>0.13</v>
      </c>
      <c r="J42" s="43">
        <v>1300</v>
      </c>
      <c r="K42" s="43">
        <v>7800</v>
      </c>
      <c r="L42" s="48" t="s">
        <v>105</v>
      </c>
      <c r="M42" s="49" t="s">
        <v>106</v>
      </c>
      <c r="N42" s="50"/>
      <c r="O42" s="50"/>
    </row>
    <row r="43" ht="26" spans="1:15">
      <c r="A43" s="51"/>
      <c r="B43" s="44" t="s">
        <v>15</v>
      </c>
      <c r="C43" s="44" t="s">
        <v>128</v>
      </c>
      <c r="D43" s="49"/>
      <c r="E43" s="49"/>
      <c r="F43" s="45"/>
      <c r="G43" s="49"/>
      <c r="H43" s="43">
        <v>6</v>
      </c>
      <c r="I43" s="47">
        <v>0.13</v>
      </c>
      <c r="J43" s="43">
        <v>200</v>
      </c>
      <c r="K43" s="43">
        <v>1200</v>
      </c>
      <c r="L43" s="48" t="s">
        <v>105</v>
      </c>
      <c r="M43" s="51" t="s">
        <v>108</v>
      </c>
      <c r="N43" s="50"/>
      <c r="O43" s="50"/>
    </row>
    <row r="44" ht="39" spans="1:15">
      <c r="A44" s="51"/>
      <c r="B44" s="44" t="s">
        <v>109</v>
      </c>
      <c r="C44" s="44" t="s">
        <v>110</v>
      </c>
      <c r="D44" s="49"/>
      <c r="E44" s="49"/>
      <c r="F44" s="45"/>
      <c r="G44" s="49"/>
      <c r="H44" s="43">
        <v>6</v>
      </c>
      <c r="I44" s="47">
        <v>0.13</v>
      </c>
      <c r="J44" s="43">
        <v>450</v>
      </c>
      <c r="K44" s="43">
        <v>2700</v>
      </c>
      <c r="L44" s="48" t="s">
        <v>105</v>
      </c>
      <c r="M44" s="49" t="s">
        <v>124</v>
      </c>
      <c r="N44" s="50"/>
      <c r="O44" s="50"/>
    </row>
    <row r="45" ht="26" spans="1:15">
      <c r="A45" s="51"/>
      <c r="B45" s="44" t="s">
        <v>112</v>
      </c>
      <c r="C45" s="44" t="s">
        <v>113</v>
      </c>
      <c r="D45" s="49"/>
      <c r="E45" s="49"/>
      <c r="F45" s="45"/>
      <c r="G45" s="49"/>
      <c r="H45" s="43">
        <v>6</v>
      </c>
      <c r="I45" s="47">
        <v>0.13</v>
      </c>
      <c r="J45" s="43">
        <v>150</v>
      </c>
      <c r="K45" s="43">
        <v>900</v>
      </c>
      <c r="L45" s="48" t="s">
        <v>105</v>
      </c>
      <c r="M45" s="49" t="s">
        <v>114</v>
      </c>
      <c r="N45" s="50"/>
      <c r="O45" s="50"/>
    </row>
    <row r="46" ht="65" spans="1:15">
      <c r="A46" s="51"/>
      <c r="B46" s="44" t="s">
        <v>21</v>
      </c>
      <c r="C46" s="44" t="s">
        <v>125</v>
      </c>
      <c r="D46" s="49"/>
      <c r="E46" s="49"/>
      <c r="F46" s="45"/>
      <c r="G46" s="49"/>
      <c r="H46" s="43">
        <v>3</v>
      </c>
      <c r="I46" s="47">
        <v>0.13</v>
      </c>
      <c r="J46" s="43">
        <v>1250</v>
      </c>
      <c r="K46" s="43">
        <v>3750</v>
      </c>
      <c r="L46" s="48" t="s">
        <v>105</v>
      </c>
      <c r="M46" s="49" t="s">
        <v>121</v>
      </c>
      <c r="N46" s="50"/>
      <c r="O46" s="50"/>
    </row>
    <row r="47" ht="26" spans="1:15">
      <c r="A47" s="43">
        <v>10</v>
      </c>
      <c r="B47" s="44" t="s">
        <v>13</v>
      </c>
      <c r="C47" s="44" t="s">
        <v>136</v>
      </c>
      <c r="D47" s="43">
        <v>25</v>
      </c>
      <c r="E47" s="43">
        <v>20</v>
      </c>
      <c r="F47" s="45"/>
      <c r="G47" s="43">
        <v>3</v>
      </c>
      <c r="H47" s="43">
        <v>16</v>
      </c>
      <c r="I47" s="47">
        <v>0.13</v>
      </c>
      <c r="J47" s="43">
        <v>1300</v>
      </c>
      <c r="K47" s="43">
        <v>20800</v>
      </c>
      <c r="L47" s="48" t="s">
        <v>105</v>
      </c>
      <c r="M47" s="49" t="s">
        <v>106</v>
      </c>
      <c r="N47" s="50"/>
      <c r="O47" s="50"/>
    </row>
    <row r="48" ht="26" spans="1:15">
      <c r="A48" s="51"/>
      <c r="B48" s="44" t="s">
        <v>15</v>
      </c>
      <c r="C48" s="44" t="s">
        <v>128</v>
      </c>
      <c r="D48" s="49"/>
      <c r="E48" s="49"/>
      <c r="F48" s="45"/>
      <c r="G48" s="49"/>
      <c r="H48" s="43">
        <v>16</v>
      </c>
      <c r="I48" s="47">
        <v>0.13</v>
      </c>
      <c r="J48" s="43">
        <v>200</v>
      </c>
      <c r="K48" s="43">
        <v>3200</v>
      </c>
      <c r="L48" s="48" t="s">
        <v>105</v>
      </c>
      <c r="M48" s="51" t="s">
        <v>108</v>
      </c>
      <c r="N48" s="50"/>
      <c r="O48" s="50"/>
    </row>
    <row r="49" ht="39" spans="1:15">
      <c r="A49" s="51"/>
      <c r="B49" s="44" t="s">
        <v>109</v>
      </c>
      <c r="C49" s="44" t="s">
        <v>110</v>
      </c>
      <c r="D49" s="49"/>
      <c r="E49" s="49"/>
      <c r="F49" s="45"/>
      <c r="G49" s="49"/>
      <c r="H49" s="43">
        <v>16</v>
      </c>
      <c r="I49" s="47">
        <v>0.13</v>
      </c>
      <c r="J49" s="43">
        <v>450</v>
      </c>
      <c r="K49" s="43">
        <v>7200</v>
      </c>
      <c r="L49" s="48" t="s">
        <v>105</v>
      </c>
      <c r="M49" s="49" t="s">
        <v>124</v>
      </c>
      <c r="N49" s="50"/>
      <c r="O49" s="50"/>
    </row>
    <row r="50" ht="26" spans="1:15">
      <c r="A50" s="51"/>
      <c r="B50" s="44" t="s">
        <v>112</v>
      </c>
      <c r="C50" s="44" t="s">
        <v>113</v>
      </c>
      <c r="D50" s="49"/>
      <c r="E50" s="49"/>
      <c r="F50" s="45"/>
      <c r="G50" s="49"/>
      <c r="H50" s="43">
        <v>16</v>
      </c>
      <c r="I50" s="47">
        <v>0.13</v>
      </c>
      <c r="J50" s="43">
        <v>150</v>
      </c>
      <c r="K50" s="43">
        <v>2400</v>
      </c>
      <c r="L50" s="48" t="s">
        <v>105</v>
      </c>
      <c r="M50" s="49" t="s">
        <v>114</v>
      </c>
      <c r="N50" s="50"/>
      <c r="O50" s="50"/>
    </row>
    <row r="51" ht="65" spans="1:15">
      <c r="A51" s="51"/>
      <c r="B51" s="44" t="s">
        <v>21</v>
      </c>
      <c r="C51" s="44" t="s">
        <v>125</v>
      </c>
      <c r="D51" s="49"/>
      <c r="E51" s="49"/>
      <c r="F51" s="45"/>
      <c r="G51" s="49"/>
      <c r="H51" s="43">
        <v>8</v>
      </c>
      <c r="I51" s="47">
        <v>0.13</v>
      </c>
      <c r="J51" s="43">
        <v>1250</v>
      </c>
      <c r="K51" s="43">
        <v>10000</v>
      </c>
      <c r="L51" s="48" t="s">
        <v>105</v>
      </c>
      <c r="M51" s="49" t="s">
        <v>121</v>
      </c>
      <c r="N51" s="50"/>
      <c r="O51" s="50"/>
    </row>
    <row r="52" ht="26" spans="1:15">
      <c r="A52" s="43">
        <v>11</v>
      </c>
      <c r="B52" s="44" t="s">
        <v>13</v>
      </c>
      <c r="C52" s="44" t="s">
        <v>136</v>
      </c>
      <c r="D52" s="43">
        <v>25</v>
      </c>
      <c r="E52" s="43">
        <v>20</v>
      </c>
      <c r="F52" s="45"/>
      <c r="G52" s="43">
        <v>3</v>
      </c>
      <c r="H52" s="43">
        <v>10</v>
      </c>
      <c r="I52" s="47">
        <v>0.13</v>
      </c>
      <c r="J52" s="43">
        <v>1300</v>
      </c>
      <c r="K52" s="43">
        <v>13000</v>
      </c>
      <c r="L52" s="48" t="s">
        <v>105</v>
      </c>
      <c r="M52" s="49" t="s">
        <v>106</v>
      </c>
      <c r="N52" s="50"/>
      <c r="O52" s="50"/>
    </row>
    <row r="53" ht="26" spans="1:15">
      <c r="A53" s="51"/>
      <c r="B53" s="44" t="s">
        <v>15</v>
      </c>
      <c r="C53" s="44" t="s">
        <v>128</v>
      </c>
      <c r="D53" s="49"/>
      <c r="E53" s="49"/>
      <c r="F53" s="45"/>
      <c r="G53" s="49"/>
      <c r="H53" s="43">
        <v>10</v>
      </c>
      <c r="I53" s="47">
        <v>0.13</v>
      </c>
      <c r="J53" s="43">
        <v>200</v>
      </c>
      <c r="K53" s="43">
        <v>2000</v>
      </c>
      <c r="L53" s="48" t="s">
        <v>105</v>
      </c>
      <c r="M53" s="51" t="s">
        <v>108</v>
      </c>
      <c r="N53" s="50"/>
      <c r="O53" s="50"/>
    </row>
    <row r="54" ht="39" spans="1:15">
      <c r="A54" s="51"/>
      <c r="B54" s="44" t="s">
        <v>109</v>
      </c>
      <c r="C54" s="44" t="s">
        <v>110</v>
      </c>
      <c r="D54" s="49"/>
      <c r="E54" s="49"/>
      <c r="F54" s="45"/>
      <c r="G54" s="49"/>
      <c r="H54" s="43">
        <v>10</v>
      </c>
      <c r="I54" s="47">
        <v>0.13</v>
      </c>
      <c r="J54" s="43">
        <v>450</v>
      </c>
      <c r="K54" s="43">
        <v>4500</v>
      </c>
      <c r="L54" s="48" t="s">
        <v>105</v>
      </c>
      <c r="M54" s="49" t="s">
        <v>124</v>
      </c>
      <c r="N54" s="50"/>
      <c r="O54" s="50"/>
    </row>
    <row r="55" ht="26" spans="1:15">
      <c r="A55" s="51"/>
      <c r="B55" s="44" t="s">
        <v>112</v>
      </c>
      <c r="C55" s="44" t="s">
        <v>113</v>
      </c>
      <c r="D55" s="49"/>
      <c r="E55" s="49"/>
      <c r="F55" s="45"/>
      <c r="G55" s="49"/>
      <c r="H55" s="43">
        <v>10</v>
      </c>
      <c r="I55" s="47">
        <v>0.13</v>
      </c>
      <c r="J55" s="43">
        <v>150</v>
      </c>
      <c r="K55" s="43">
        <v>1500</v>
      </c>
      <c r="L55" s="48" t="s">
        <v>105</v>
      </c>
      <c r="M55" s="49" t="s">
        <v>137</v>
      </c>
      <c r="N55" s="50"/>
      <c r="O55" s="50"/>
    </row>
    <row r="56" ht="65" spans="1:15">
      <c r="A56" s="51"/>
      <c r="B56" s="44" t="s">
        <v>21</v>
      </c>
      <c r="C56" s="44" t="s">
        <v>125</v>
      </c>
      <c r="D56" s="49"/>
      <c r="E56" s="49"/>
      <c r="F56" s="45"/>
      <c r="G56" s="49"/>
      <c r="H56" s="43">
        <v>5</v>
      </c>
      <c r="I56" s="47">
        <v>0.13</v>
      </c>
      <c r="J56" s="43">
        <v>1250</v>
      </c>
      <c r="K56" s="43">
        <v>6250</v>
      </c>
      <c r="L56" s="48" t="s">
        <v>105</v>
      </c>
      <c r="M56" s="49" t="s">
        <v>121</v>
      </c>
      <c r="N56" s="50"/>
      <c r="O56" s="50"/>
    </row>
    <row r="57" ht="26" spans="1:15">
      <c r="A57" s="43">
        <v>12</v>
      </c>
      <c r="B57" s="44" t="s">
        <v>13</v>
      </c>
      <c r="C57" s="44" t="s">
        <v>138</v>
      </c>
      <c r="D57" s="43">
        <v>25</v>
      </c>
      <c r="E57" s="43">
        <v>15</v>
      </c>
      <c r="F57" s="45"/>
      <c r="G57" s="46">
        <v>2.2</v>
      </c>
      <c r="H57" s="43">
        <v>2</v>
      </c>
      <c r="I57" s="47">
        <v>0.13</v>
      </c>
      <c r="J57" s="43">
        <v>1200</v>
      </c>
      <c r="K57" s="43">
        <v>2400</v>
      </c>
      <c r="L57" s="48" t="s">
        <v>105</v>
      </c>
      <c r="M57" s="49" t="s">
        <v>139</v>
      </c>
      <c r="N57" s="50"/>
      <c r="O57" s="50"/>
    </row>
    <row r="58" ht="26" spans="1:15">
      <c r="A58" s="43"/>
      <c r="B58" s="44" t="s">
        <v>15</v>
      </c>
      <c r="C58" s="44" t="s">
        <v>128</v>
      </c>
      <c r="D58" s="49"/>
      <c r="E58" s="49"/>
      <c r="F58" s="45"/>
      <c r="G58" s="49"/>
      <c r="H58" s="43">
        <v>2</v>
      </c>
      <c r="I58" s="47">
        <v>0.13</v>
      </c>
      <c r="J58" s="43">
        <v>200</v>
      </c>
      <c r="K58" s="43">
        <v>400</v>
      </c>
      <c r="L58" s="48" t="s">
        <v>105</v>
      </c>
      <c r="M58" s="51" t="s">
        <v>108</v>
      </c>
      <c r="N58" s="50"/>
      <c r="O58" s="50"/>
    </row>
    <row r="59" ht="39" spans="1:15">
      <c r="A59" s="43"/>
      <c r="B59" s="44" t="s">
        <v>109</v>
      </c>
      <c r="C59" s="44" t="s">
        <v>110</v>
      </c>
      <c r="D59" s="49"/>
      <c r="E59" s="49"/>
      <c r="F59" s="45"/>
      <c r="G59" s="49"/>
      <c r="H59" s="43">
        <v>2</v>
      </c>
      <c r="I59" s="47">
        <v>0.13</v>
      </c>
      <c r="J59" s="43">
        <v>450</v>
      </c>
      <c r="K59" s="43">
        <v>900</v>
      </c>
      <c r="L59" s="48" t="s">
        <v>105</v>
      </c>
      <c r="M59" s="49" t="s">
        <v>124</v>
      </c>
      <c r="N59" s="50"/>
      <c r="O59" s="50"/>
    </row>
    <row r="60" ht="26" spans="1:15">
      <c r="A60" s="43"/>
      <c r="B60" s="44" t="s">
        <v>112</v>
      </c>
      <c r="C60" s="44" t="s">
        <v>113</v>
      </c>
      <c r="D60" s="49"/>
      <c r="E60" s="49"/>
      <c r="F60" s="45"/>
      <c r="G60" s="49"/>
      <c r="H60" s="43">
        <v>2</v>
      </c>
      <c r="I60" s="47">
        <v>0.13</v>
      </c>
      <c r="J60" s="43">
        <v>150</v>
      </c>
      <c r="K60" s="43">
        <v>300</v>
      </c>
      <c r="L60" s="48" t="s">
        <v>105</v>
      </c>
      <c r="M60" s="49" t="s">
        <v>137</v>
      </c>
      <c r="N60" s="50"/>
      <c r="O60" s="50"/>
    </row>
    <row r="61" ht="65" spans="1:15">
      <c r="A61" s="43"/>
      <c r="B61" s="44" t="s">
        <v>21</v>
      </c>
      <c r="C61" s="44" t="s">
        <v>129</v>
      </c>
      <c r="D61" s="49"/>
      <c r="E61" s="49"/>
      <c r="F61" s="45"/>
      <c r="G61" s="49"/>
      <c r="H61" s="43">
        <v>1</v>
      </c>
      <c r="I61" s="47">
        <v>0.13</v>
      </c>
      <c r="J61" s="43">
        <v>1250</v>
      </c>
      <c r="K61" s="43">
        <v>1250</v>
      </c>
      <c r="L61" s="48" t="s">
        <v>105</v>
      </c>
      <c r="M61" s="49" t="s">
        <v>121</v>
      </c>
      <c r="N61" s="50"/>
      <c r="O61" s="50"/>
    </row>
    <row r="62" ht="26" spans="1:15">
      <c r="A62" s="43">
        <v>13</v>
      </c>
      <c r="B62" s="44" t="s">
        <v>13</v>
      </c>
      <c r="C62" s="44" t="s">
        <v>138</v>
      </c>
      <c r="D62" s="43">
        <v>20</v>
      </c>
      <c r="E62" s="43">
        <v>20</v>
      </c>
      <c r="F62" s="45"/>
      <c r="G62" s="46">
        <v>2.2</v>
      </c>
      <c r="H62" s="43">
        <v>8</v>
      </c>
      <c r="I62" s="47">
        <v>0.13</v>
      </c>
      <c r="J62" s="43">
        <v>1200</v>
      </c>
      <c r="K62" s="43">
        <v>9600</v>
      </c>
      <c r="L62" s="48" t="s">
        <v>105</v>
      </c>
      <c r="M62" s="49" t="s">
        <v>106</v>
      </c>
      <c r="N62" s="50"/>
      <c r="O62" s="50"/>
    </row>
    <row r="63" ht="26" spans="1:15">
      <c r="A63" s="51"/>
      <c r="B63" s="44" t="s">
        <v>15</v>
      </c>
      <c r="C63" s="44" t="s">
        <v>128</v>
      </c>
      <c r="D63" s="49"/>
      <c r="E63" s="49"/>
      <c r="F63" s="45"/>
      <c r="G63" s="49"/>
      <c r="H63" s="43">
        <v>8</v>
      </c>
      <c r="I63" s="47">
        <v>0.13</v>
      </c>
      <c r="J63" s="43">
        <v>200</v>
      </c>
      <c r="K63" s="43">
        <v>1600</v>
      </c>
      <c r="L63" s="48" t="s">
        <v>105</v>
      </c>
      <c r="M63" s="51" t="s">
        <v>108</v>
      </c>
      <c r="N63" s="50"/>
      <c r="O63" s="50"/>
    </row>
    <row r="64" ht="39" spans="1:15">
      <c r="A64" s="51"/>
      <c r="B64" s="44" t="s">
        <v>109</v>
      </c>
      <c r="C64" s="44" t="s">
        <v>110</v>
      </c>
      <c r="D64" s="49"/>
      <c r="E64" s="49"/>
      <c r="F64" s="45"/>
      <c r="G64" s="49"/>
      <c r="H64" s="43">
        <v>8</v>
      </c>
      <c r="I64" s="47">
        <v>0.13</v>
      </c>
      <c r="J64" s="43">
        <v>450</v>
      </c>
      <c r="K64" s="43">
        <v>3600</v>
      </c>
      <c r="L64" s="48" t="s">
        <v>105</v>
      </c>
      <c r="M64" s="49" t="s">
        <v>124</v>
      </c>
      <c r="N64" s="50"/>
      <c r="O64" s="50"/>
    </row>
    <row r="65" ht="26" spans="1:15">
      <c r="A65" s="51"/>
      <c r="B65" s="44" t="s">
        <v>112</v>
      </c>
      <c r="C65" s="44" t="s">
        <v>113</v>
      </c>
      <c r="D65" s="49"/>
      <c r="E65" s="49"/>
      <c r="F65" s="45"/>
      <c r="G65" s="49"/>
      <c r="H65" s="43">
        <v>8</v>
      </c>
      <c r="I65" s="47">
        <v>0.13</v>
      </c>
      <c r="J65" s="43">
        <v>150</v>
      </c>
      <c r="K65" s="43">
        <v>1200</v>
      </c>
      <c r="L65" s="48" t="s">
        <v>105</v>
      </c>
      <c r="M65" s="49" t="s">
        <v>137</v>
      </c>
      <c r="N65" s="50"/>
      <c r="O65" s="50"/>
    </row>
    <row r="66" ht="65" spans="1:15">
      <c r="A66" s="51"/>
      <c r="B66" s="44" t="s">
        <v>21</v>
      </c>
      <c r="C66" s="44" t="s">
        <v>129</v>
      </c>
      <c r="D66" s="49"/>
      <c r="E66" s="49"/>
      <c r="F66" s="45"/>
      <c r="G66" s="49"/>
      <c r="H66" s="43">
        <v>4</v>
      </c>
      <c r="I66" s="47">
        <v>0.13</v>
      </c>
      <c r="J66" s="43">
        <v>1250</v>
      </c>
      <c r="K66" s="43">
        <v>5000</v>
      </c>
      <c r="L66" s="48" t="s">
        <v>105</v>
      </c>
      <c r="M66" s="49" t="s">
        <v>121</v>
      </c>
      <c r="N66" s="50"/>
      <c r="O66" s="50"/>
    </row>
    <row r="67" ht="26" spans="1:15">
      <c r="A67" s="43">
        <v>14</v>
      </c>
      <c r="B67" s="44" t="s">
        <v>13</v>
      </c>
      <c r="C67" s="44" t="s">
        <v>140</v>
      </c>
      <c r="D67" s="43">
        <v>15</v>
      </c>
      <c r="E67" s="43">
        <v>20</v>
      </c>
      <c r="F67" s="45"/>
      <c r="G67" s="46">
        <v>2.2</v>
      </c>
      <c r="H67" s="43">
        <v>1</v>
      </c>
      <c r="I67" s="47">
        <v>0.13</v>
      </c>
      <c r="J67" s="43">
        <v>1200</v>
      </c>
      <c r="K67" s="43">
        <v>1200</v>
      </c>
      <c r="L67" s="48" t="s">
        <v>105</v>
      </c>
      <c r="M67" s="49" t="s">
        <v>106</v>
      </c>
      <c r="N67" s="50"/>
      <c r="O67" s="50"/>
    </row>
    <row r="68" ht="26" spans="1:15">
      <c r="A68" s="51"/>
      <c r="B68" s="44" t="s">
        <v>15</v>
      </c>
      <c r="C68" s="44" t="s">
        <v>128</v>
      </c>
      <c r="D68" s="49"/>
      <c r="E68" s="49"/>
      <c r="F68" s="45"/>
      <c r="G68" s="49"/>
      <c r="H68" s="43">
        <v>1</v>
      </c>
      <c r="I68" s="47">
        <v>0.13</v>
      </c>
      <c r="J68" s="43">
        <v>200</v>
      </c>
      <c r="K68" s="43">
        <v>200</v>
      </c>
      <c r="L68" s="48" t="s">
        <v>105</v>
      </c>
      <c r="M68" s="51" t="s">
        <v>108</v>
      </c>
      <c r="N68" s="50"/>
      <c r="O68" s="50"/>
    </row>
    <row r="69" ht="39" spans="1:15">
      <c r="A69" s="51"/>
      <c r="B69" s="44" t="s">
        <v>109</v>
      </c>
      <c r="C69" s="44" t="s">
        <v>110</v>
      </c>
      <c r="D69" s="49"/>
      <c r="E69" s="49"/>
      <c r="F69" s="45"/>
      <c r="G69" s="49"/>
      <c r="H69" s="43">
        <v>1</v>
      </c>
      <c r="I69" s="47">
        <v>0.13</v>
      </c>
      <c r="J69" s="43">
        <v>450</v>
      </c>
      <c r="K69" s="43">
        <v>450</v>
      </c>
      <c r="L69" s="48" t="s">
        <v>105</v>
      </c>
      <c r="M69" s="49" t="s">
        <v>124</v>
      </c>
      <c r="N69" s="50"/>
      <c r="O69" s="50"/>
    </row>
    <row r="70" ht="26" spans="1:15">
      <c r="A70" s="51"/>
      <c r="B70" s="44" t="s">
        <v>112</v>
      </c>
      <c r="C70" s="44" t="s">
        <v>113</v>
      </c>
      <c r="D70" s="49"/>
      <c r="E70" s="49"/>
      <c r="F70" s="45"/>
      <c r="G70" s="49"/>
      <c r="H70" s="43">
        <v>1</v>
      </c>
      <c r="I70" s="47">
        <v>0.13</v>
      </c>
      <c r="J70" s="43">
        <v>150</v>
      </c>
      <c r="K70" s="43">
        <v>150</v>
      </c>
      <c r="L70" s="48" t="s">
        <v>105</v>
      </c>
      <c r="M70" s="49" t="s">
        <v>137</v>
      </c>
      <c r="N70" s="50"/>
      <c r="O70" s="50"/>
    </row>
    <row r="71" ht="65" spans="1:15">
      <c r="A71" s="51"/>
      <c r="B71" s="44" t="s">
        <v>21</v>
      </c>
      <c r="C71" s="44" t="s">
        <v>141</v>
      </c>
      <c r="D71" s="49"/>
      <c r="E71" s="49"/>
      <c r="F71" s="45"/>
      <c r="G71" s="49"/>
      <c r="H71" s="43">
        <v>1</v>
      </c>
      <c r="I71" s="47">
        <v>0.13</v>
      </c>
      <c r="J71" s="43">
        <v>900</v>
      </c>
      <c r="K71" s="43">
        <v>900</v>
      </c>
      <c r="L71" s="48" t="s">
        <v>105</v>
      </c>
      <c r="M71" s="49" t="s">
        <v>121</v>
      </c>
      <c r="N71" s="50"/>
      <c r="O71" s="50"/>
    </row>
    <row r="72" ht="26" spans="1:15">
      <c r="A72" s="43">
        <v>15</v>
      </c>
      <c r="B72" s="44" t="s">
        <v>13</v>
      </c>
      <c r="C72" s="44" t="s">
        <v>142</v>
      </c>
      <c r="D72" s="43">
        <v>10</v>
      </c>
      <c r="E72" s="43">
        <v>30</v>
      </c>
      <c r="F72" s="45"/>
      <c r="G72" s="43">
        <v>4</v>
      </c>
      <c r="H72" s="43">
        <v>2</v>
      </c>
      <c r="I72" s="47">
        <v>0.13</v>
      </c>
      <c r="J72" s="43">
        <v>1650</v>
      </c>
      <c r="K72" s="43">
        <v>3300</v>
      </c>
      <c r="L72" s="48" t="s">
        <v>105</v>
      </c>
      <c r="M72" s="49" t="s">
        <v>106</v>
      </c>
      <c r="N72" s="50"/>
      <c r="O72" s="50"/>
    </row>
    <row r="73" ht="26" spans="1:15">
      <c r="A73" s="51"/>
      <c r="B73" s="44" t="s">
        <v>15</v>
      </c>
      <c r="C73" s="44" t="s">
        <v>128</v>
      </c>
      <c r="D73" s="49"/>
      <c r="E73" s="49"/>
      <c r="F73" s="45"/>
      <c r="G73" s="49"/>
      <c r="H73" s="43">
        <v>2</v>
      </c>
      <c r="I73" s="47">
        <v>0.13</v>
      </c>
      <c r="J73" s="43">
        <v>200</v>
      </c>
      <c r="K73" s="43">
        <v>400</v>
      </c>
      <c r="L73" s="48" t="s">
        <v>105</v>
      </c>
      <c r="M73" s="51" t="s">
        <v>108</v>
      </c>
      <c r="N73" s="50"/>
      <c r="O73" s="50"/>
    </row>
    <row r="74" ht="39" spans="1:15">
      <c r="A74" s="51"/>
      <c r="B74" s="44" t="s">
        <v>109</v>
      </c>
      <c r="C74" s="44" t="s">
        <v>110</v>
      </c>
      <c r="D74" s="49"/>
      <c r="E74" s="49"/>
      <c r="F74" s="45"/>
      <c r="G74" s="49"/>
      <c r="H74" s="43">
        <v>2</v>
      </c>
      <c r="I74" s="47">
        <v>0.13</v>
      </c>
      <c r="J74" s="43">
        <v>450</v>
      </c>
      <c r="K74" s="43">
        <v>900</v>
      </c>
      <c r="L74" s="48" t="s">
        <v>105</v>
      </c>
      <c r="M74" s="49" t="s">
        <v>124</v>
      </c>
      <c r="N74" s="50"/>
      <c r="O74" s="50"/>
    </row>
    <row r="75" ht="26" spans="1:15">
      <c r="A75" s="51"/>
      <c r="B75" s="44" t="s">
        <v>112</v>
      </c>
      <c r="C75" s="44" t="s">
        <v>113</v>
      </c>
      <c r="D75" s="49"/>
      <c r="E75" s="49"/>
      <c r="F75" s="45"/>
      <c r="G75" s="49"/>
      <c r="H75" s="43">
        <v>2</v>
      </c>
      <c r="I75" s="47">
        <v>0.13</v>
      </c>
      <c r="J75" s="43">
        <v>150</v>
      </c>
      <c r="K75" s="43">
        <v>300</v>
      </c>
      <c r="L75" s="48" t="s">
        <v>105</v>
      </c>
      <c r="M75" s="49" t="s">
        <v>137</v>
      </c>
      <c r="N75" s="50"/>
      <c r="O75" s="50"/>
    </row>
    <row r="76" ht="65" spans="1:15">
      <c r="A76" s="51"/>
      <c r="B76" s="44" t="s">
        <v>21</v>
      </c>
      <c r="C76" s="44" t="s">
        <v>134</v>
      </c>
      <c r="D76" s="49"/>
      <c r="E76" s="49"/>
      <c r="F76" s="45"/>
      <c r="G76" s="49"/>
      <c r="H76" s="43">
        <v>1</v>
      </c>
      <c r="I76" s="47">
        <v>0.13</v>
      </c>
      <c r="J76" s="43">
        <v>1250</v>
      </c>
      <c r="K76" s="43">
        <v>1250</v>
      </c>
      <c r="L76" s="48" t="s">
        <v>105</v>
      </c>
      <c r="M76" s="52" t="s">
        <v>121</v>
      </c>
      <c r="N76" s="50"/>
      <c r="O76" s="50"/>
    </row>
    <row r="77" ht="26" spans="1:15">
      <c r="A77" s="43">
        <v>16</v>
      </c>
      <c r="B77" s="44" t="s">
        <v>13</v>
      </c>
      <c r="C77" s="44" t="s">
        <v>143</v>
      </c>
      <c r="D77" s="43">
        <v>10</v>
      </c>
      <c r="E77" s="43">
        <v>20</v>
      </c>
      <c r="F77" s="45"/>
      <c r="G77" s="46">
        <v>2.2</v>
      </c>
      <c r="H77" s="43">
        <v>18</v>
      </c>
      <c r="I77" s="47">
        <v>0.13</v>
      </c>
      <c r="J77" s="43">
        <v>1200</v>
      </c>
      <c r="K77" s="43">
        <v>21600</v>
      </c>
      <c r="L77" s="48" t="s">
        <v>105</v>
      </c>
      <c r="M77" s="49" t="s">
        <v>106</v>
      </c>
      <c r="N77" s="50"/>
      <c r="O77" s="50"/>
    </row>
    <row r="78" ht="26" spans="1:15">
      <c r="A78" s="51"/>
      <c r="B78" s="44" t="s">
        <v>15</v>
      </c>
      <c r="C78" s="44" t="s">
        <v>128</v>
      </c>
      <c r="D78" s="49"/>
      <c r="E78" s="49"/>
      <c r="F78" s="45"/>
      <c r="G78" s="49"/>
      <c r="H78" s="43">
        <v>18</v>
      </c>
      <c r="I78" s="47">
        <v>0.13</v>
      </c>
      <c r="J78" s="43">
        <v>200</v>
      </c>
      <c r="K78" s="43">
        <v>3600</v>
      </c>
      <c r="L78" s="48" t="s">
        <v>105</v>
      </c>
      <c r="M78" s="51" t="s">
        <v>108</v>
      </c>
      <c r="N78" s="50"/>
      <c r="O78" s="50"/>
    </row>
    <row r="79" ht="39" spans="1:15">
      <c r="A79" s="51"/>
      <c r="B79" s="44" t="s">
        <v>109</v>
      </c>
      <c r="C79" s="44" t="s">
        <v>110</v>
      </c>
      <c r="D79" s="49"/>
      <c r="E79" s="49"/>
      <c r="F79" s="45"/>
      <c r="G79" s="49"/>
      <c r="H79" s="43">
        <v>18</v>
      </c>
      <c r="I79" s="47">
        <v>0.13</v>
      </c>
      <c r="J79" s="43">
        <v>450</v>
      </c>
      <c r="K79" s="43">
        <v>8100</v>
      </c>
      <c r="L79" s="48" t="s">
        <v>105</v>
      </c>
      <c r="M79" s="49" t="s">
        <v>124</v>
      </c>
      <c r="N79" s="50"/>
      <c r="O79" s="50"/>
    </row>
    <row r="80" ht="26" spans="1:15">
      <c r="A80" s="51"/>
      <c r="B80" s="44" t="s">
        <v>112</v>
      </c>
      <c r="C80" s="44" t="s">
        <v>113</v>
      </c>
      <c r="D80" s="49"/>
      <c r="E80" s="49"/>
      <c r="F80" s="45"/>
      <c r="G80" s="49"/>
      <c r="H80" s="43">
        <v>18</v>
      </c>
      <c r="I80" s="47">
        <v>0.13</v>
      </c>
      <c r="J80" s="43">
        <v>200</v>
      </c>
      <c r="K80" s="43">
        <v>3600</v>
      </c>
      <c r="L80" s="48" t="s">
        <v>105</v>
      </c>
      <c r="M80" s="49" t="s">
        <v>137</v>
      </c>
      <c r="N80" s="50"/>
      <c r="O80" s="50"/>
    </row>
    <row r="81" ht="65" spans="1:15">
      <c r="A81" s="51"/>
      <c r="B81" s="44" t="s">
        <v>21</v>
      </c>
      <c r="C81" s="44" t="s">
        <v>129</v>
      </c>
      <c r="D81" s="49"/>
      <c r="E81" s="49"/>
      <c r="F81" s="45"/>
      <c r="G81" s="49"/>
      <c r="H81" s="43">
        <v>9</v>
      </c>
      <c r="I81" s="47">
        <v>0.13</v>
      </c>
      <c r="J81" s="43">
        <v>1250</v>
      </c>
      <c r="K81" s="43">
        <v>11250</v>
      </c>
      <c r="L81" s="48" t="s">
        <v>105</v>
      </c>
      <c r="M81" s="49" t="s">
        <v>121</v>
      </c>
      <c r="N81" s="50"/>
      <c r="O81" s="50"/>
    </row>
    <row r="82" ht="39" spans="1:15">
      <c r="A82" s="43">
        <v>17</v>
      </c>
      <c r="B82" s="44" t="s">
        <v>144</v>
      </c>
      <c r="C82" s="49"/>
      <c r="D82" s="49"/>
      <c r="E82" s="49"/>
      <c r="F82" s="45"/>
      <c r="G82" s="49"/>
      <c r="H82" s="43">
        <v>9</v>
      </c>
      <c r="I82" s="47">
        <v>0.13</v>
      </c>
      <c r="J82" s="51"/>
      <c r="K82" s="51"/>
      <c r="L82" s="48" t="s">
        <v>105</v>
      </c>
      <c r="M82" s="51" t="s">
        <v>108</v>
      </c>
      <c r="N82" s="50"/>
      <c r="O82" s="50"/>
    </row>
    <row r="83" ht="26" spans="1:15">
      <c r="A83" s="51"/>
      <c r="B83" s="44" t="s">
        <v>13</v>
      </c>
      <c r="C83" s="44" t="s">
        <v>117</v>
      </c>
      <c r="D83" s="44" t="s">
        <v>145</v>
      </c>
      <c r="E83" s="43">
        <v>25</v>
      </c>
      <c r="F83" s="45"/>
      <c r="G83" s="46">
        <v>7.5</v>
      </c>
      <c r="H83" s="43">
        <v>18</v>
      </c>
      <c r="I83" s="47">
        <v>0.13</v>
      </c>
      <c r="J83" s="43">
        <v>2900</v>
      </c>
      <c r="K83" s="43">
        <v>52200</v>
      </c>
      <c r="L83" s="48" t="s">
        <v>105</v>
      </c>
      <c r="M83" s="49" t="s">
        <v>106</v>
      </c>
      <c r="N83" s="50"/>
      <c r="O83" s="50"/>
    </row>
    <row r="84" ht="26" spans="1:15">
      <c r="A84" s="51"/>
      <c r="B84" s="44" t="s">
        <v>15</v>
      </c>
      <c r="C84" s="44" t="s">
        <v>118</v>
      </c>
      <c r="D84" s="49"/>
      <c r="E84" s="49"/>
      <c r="F84" s="45"/>
      <c r="G84" s="49"/>
      <c r="H84" s="43">
        <v>18</v>
      </c>
      <c r="I84" s="47">
        <v>0.13</v>
      </c>
      <c r="J84" s="43">
        <v>400</v>
      </c>
      <c r="K84" s="43">
        <v>7200</v>
      </c>
      <c r="L84" s="48" t="s">
        <v>105</v>
      </c>
      <c r="M84" s="51" t="s">
        <v>108</v>
      </c>
      <c r="N84" s="50"/>
      <c r="O84" s="50"/>
    </row>
    <row r="85" ht="39" spans="1:15">
      <c r="A85" s="51"/>
      <c r="B85" s="44" t="s">
        <v>109</v>
      </c>
      <c r="C85" s="44" t="s">
        <v>146</v>
      </c>
      <c r="D85" s="49"/>
      <c r="E85" s="49"/>
      <c r="F85" s="45"/>
      <c r="G85" s="49"/>
      <c r="H85" s="43">
        <v>18</v>
      </c>
      <c r="I85" s="47">
        <v>0.13</v>
      </c>
      <c r="J85" s="43">
        <v>400</v>
      </c>
      <c r="K85" s="43">
        <v>7200</v>
      </c>
      <c r="L85" s="48" t="s">
        <v>105</v>
      </c>
      <c r="M85" s="49" t="s">
        <v>111</v>
      </c>
      <c r="N85" s="50"/>
      <c r="O85" s="50"/>
    </row>
    <row r="86" ht="26" spans="1:15">
      <c r="A86" s="51"/>
      <c r="B86" s="44" t="s">
        <v>112</v>
      </c>
      <c r="C86" s="44" t="s">
        <v>147</v>
      </c>
      <c r="D86" s="49"/>
      <c r="E86" s="49"/>
      <c r="F86" s="45"/>
      <c r="G86" s="49"/>
      <c r="H86" s="43">
        <v>18</v>
      </c>
      <c r="I86" s="47">
        <v>0.13</v>
      </c>
      <c r="J86" s="43">
        <v>60</v>
      </c>
      <c r="K86" s="43">
        <v>1080</v>
      </c>
      <c r="L86" s="48" t="s">
        <v>105</v>
      </c>
      <c r="M86" s="49" t="s">
        <v>137</v>
      </c>
      <c r="N86" s="50"/>
      <c r="O86" s="50"/>
    </row>
    <row r="87" ht="91" spans="1:15">
      <c r="A87" s="51"/>
      <c r="B87" s="44" t="s">
        <v>148</v>
      </c>
      <c r="C87" s="44" t="s">
        <v>149</v>
      </c>
      <c r="D87" s="49"/>
      <c r="E87" s="49"/>
      <c r="F87" s="45"/>
      <c r="G87" s="49"/>
      <c r="H87" s="43">
        <v>9</v>
      </c>
      <c r="I87" s="47">
        <v>0.13</v>
      </c>
      <c r="J87" s="43">
        <v>8500</v>
      </c>
      <c r="K87" s="43">
        <v>76500</v>
      </c>
      <c r="L87" s="48" t="s">
        <v>105</v>
      </c>
      <c r="M87" s="51" t="s">
        <v>108</v>
      </c>
      <c r="N87" s="50"/>
      <c r="O87" s="50"/>
    </row>
    <row r="88" ht="65" spans="1:15">
      <c r="A88" s="51"/>
      <c r="B88" s="44" t="s">
        <v>21</v>
      </c>
      <c r="C88" s="44" t="s">
        <v>119</v>
      </c>
      <c r="D88" s="49"/>
      <c r="E88" s="49"/>
      <c r="F88" s="45"/>
      <c r="G88" s="49"/>
      <c r="H88" s="43">
        <v>9</v>
      </c>
      <c r="I88" s="47">
        <v>0.13</v>
      </c>
      <c r="J88" s="43">
        <v>2500</v>
      </c>
      <c r="K88" s="43">
        <v>22500</v>
      </c>
      <c r="L88" s="48" t="s">
        <v>105</v>
      </c>
      <c r="M88" s="49" t="s">
        <v>121</v>
      </c>
      <c r="N88" s="50"/>
      <c r="O88" s="50"/>
    </row>
    <row r="89" ht="26" spans="1:15">
      <c r="A89" s="43">
        <v>19</v>
      </c>
      <c r="B89" s="44" t="s">
        <v>13</v>
      </c>
      <c r="C89" s="44" t="s">
        <v>150</v>
      </c>
      <c r="D89" s="43">
        <v>36</v>
      </c>
      <c r="E89" s="43">
        <v>35</v>
      </c>
      <c r="F89" s="45"/>
      <c r="G89" s="46">
        <v>7.5</v>
      </c>
      <c r="H89" s="43">
        <v>20</v>
      </c>
      <c r="I89" s="47">
        <v>0.13</v>
      </c>
      <c r="J89" s="43">
        <v>2900</v>
      </c>
      <c r="K89" s="43">
        <v>58000</v>
      </c>
      <c r="L89" s="48" t="s">
        <v>105</v>
      </c>
      <c r="M89" s="49" t="s">
        <v>106</v>
      </c>
      <c r="N89" s="50"/>
      <c r="O89" s="50"/>
    </row>
    <row r="90" ht="26" spans="1:15">
      <c r="A90" s="43"/>
      <c r="B90" s="44" t="s">
        <v>15</v>
      </c>
      <c r="C90" s="44" t="s">
        <v>123</v>
      </c>
      <c r="D90" s="49"/>
      <c r="E90" s="49"/>
      <c r="F90" s="45"/>
      <c r="G90" s="49"/>
      <c r="H90" s="43">
        <v>20</v>
      </c>
      <c r="I90" s="47">
        <v>0.13</v>
      </c>
      <c r="J90" s="43">
        <v>250</v>
      </c>
      <c r="K90" s="43">
        <v>5000</v>
      </c>
      <c r="L90" s="48" t="s">
        <v>105</v>
      </c>
      <c r="M90" s="51" t="s">
        <v>108</v>
      </c>
      <c r="N90" s="50"/>
      <c r="O90" s="50"/>
    </row>
    <row r="91" ht="39" spans="1:15">
      <c r="A91" s="43"/>
      <c r="B91" s="44" t="s">
        <v>109</v>
      </c>
      <c r="C91" s="44" t="s">
        <v>110</v>
      </c>
      <c r="D91" s="49"/>
      <c r="E91" s="49"/>
      <c r="F91" s="45"/>
      <c r="G91" s="49"/>
      <c r="H91" s="43">
        <v>20</v>
      </c>
      <c r="I91" s="47">
        <v>0.13</v>
      </c>
      <c r="J91" s="43">
        <v>450</v>
      </c>
      <c r="K91" s="43">
        <v>9000</v>
      </c>
      <c r="L91" s="48" t="s">
        <v>105</v>
      </c>
      <c r="M91" s="49" t="s">
        <v>111</v>
      </c>
      <c r="N91" s="50"/>
      <c r="O91" s="50"/>
    </row>
    <row r="92" ht="26" spans="1:15">
      <c r="A92" s="43"/>
      <c r="B92" s="44" t="s">
        <v>112</v>
      </c>
      <c r="C92" s="44" t="s">
        <v>113</v>
      </c>
      <c r="D92" s="49"/>
      <c r="E92" s="49"/>
      <c r="F92" s="45"/>
      <c r="G92" s="49"/>
      <c r="H92" s="43">
        <v>20</v>
      </c>
      <c r="I92" s="47">
        <v>0.13</v>
      </c>
      <c r="J92" s="43">
        <v>150</v>
      </c>
      <c r="K92" s="43">
        <v>3000</v>
      </c>
      <c r="L92" s="48" t="s">
        <v>105</v>
      </c>
      <c r="M92" s="49" t="s">
        <v>137</v>
      </c>
      <c r="N92" s="50"/>
      <c r="O92" s="50"/>
    </row>
    <row r="93" ht="65" spans="1:15">
      <c r="A93" s="43"/>
      <c r="B93" s="44" t="s">
        <v>21</v>
      </c>
      <c r="C93" s="44" t="s">
        <v>119</v>
      </c>
      <c r="D93" s="49"/>
      <c r="E93" s="49"/>
      <c r="F93" s="45"/>
      <c r="G93" s="49"/>
      <c r="H93" s="43">
        <v>10</v>
      </c>
      <c r="I93" s="47">
        <v>0.13</v>
      </c>
      <c r="J93" s="43">
        <v>2500</v>
      </c>
      <c r="K93" s="43">
        <v>25000</v>
      </c>
      <c r="L93" s="48" t="s">
        <v>105</v>
      </c>
      <c r="M93" s="49" t="s">
        <v>121</v>
      </c>
      <c r="N93" s="50"/>
      <c r="O93" s="50"/>
    </row>
    <row r="94" ht="26" spans="1:15">
      <c r="A94" s="43">
        <v>20</v>
      </c>
      <c r="B94" s="44" t="s">
        <v>13</v>
      </c>
      <c r="C94" s="44" t="s">
        <v>151</v>
      </c>
      <c r="D94" s="43">
        <v>20</v>
      </c>
      <c r="E94" s="43">
        <v>32</v>
      </c>
      <c r="F94" s="45"/>
      <c r="G94" s="46">
        <v>5.5</v>
      </c>
      <c r="H94" s="43">
        <v>76</v>
      </c>
      <c r="I94" s="47">
        <v>0.13</v>
      </c>
      <c r="J94" s="43">
        <v>2300</v>
      </c>
      <c r="K94" s="43">
        <v>174800</v>
      </c>
      <c r="L94" s="48" t="s">
        <v>105</v>
      </c>
      <c r="M94" s="49" t="s">
        <v>106</v>
      </c>
      <c r="N94" s="50"/>
      <c r="O94" s="50"/>
    </row>
    <row r="95" ht="26" spans="1:15">
      <c r="A95" s="51"/>
      <c r="B95" s="44" t="s">
        <v>15</v>
      </c>
      <c r="C95" s="44" t="s">
        <v>128</v>
      </c>
      <c r="D95" s="49"/>
      <c r="E95" s="49"/>
      <c r="F95" s="45"/>
      <c r="G95" s="49"/>
      <c r="H95" s="43">
        <v>76</v>
      </c>
      <c r="I95" s="47">
        <v>0.13</v>
      </c>
      <c r="J95" s="43">
        <v>200</v>
      </c>
      <c r="K95" s="43">
        <v>15200</v>
      </c>
      <c r="L95" s="48" t="s">
        <v>105</v>
      </c>
      <c r="M95" s="51" t="s">
        <v>108</v>
      </c>
      <c r="N95" s="50"/>
      <c r="O95" s="50"/>
    </row>
    <row r="96" ht="39" spans="1:15">
      <c r="A96" s="51"/>
      <c r="B96" s="44" t="s">
        <v>109</v>
      </c>
      <c r="C96" s="44" t="s">
        <v>110</v>
      </c>
      <c r="D96" s="49"/>
      <c r="E96" s="49"/>
      <c r="F96" s="45"/>
      <c r="G96" s="49"/>
      <c r="H96" s="43">
        <v>76</v>
      </c>
      <c r="I96" s="47">
        <v>0.13</v>
      </c>
      <c r="J96" s="43">
        <v>450</v>
      </c>
      <c r="K96" s="43">
        <v>34200</v>
      </c>
      <c r="L96" s="48" t="s">
        <v>105</v>
      </c>
      <c r="M96" s="49" t="s">
        <v>111</v>
      </c>
      <c r="N96" s="50"/>
      <c r="O96" s="50"/>
    </row>
    <row r="97" ht="26" spans="1:15">
      <c r="A97" s="51"/>
      <c r="B97" s="44" t="s">
        <v>112</v>
      </c>
      <c r="C97" s="44" t="s">
        <v>113</v>
      </c>
      <c r="D97" s="49"/>
      <c r="E97" s="49"/>
      <c r="F97" s="45"/>
      <c r="G97" s="49"/>
      <c r="H97" s="43">
        <v>76</v>
      </c>
      <c r="I97" s="47">
        <v>0.13</v>
      </c>
      <c r="J97" s="43">
        <v>150</v>
      </c>
      <c r="K97" s="43">
        <v>11400</v>
      </c>
      <c r="L97" s="48" t="s">
        <v>105</v>
      </c>
      <c r="M97" s="49" t="s">
        <v>137</v>
      </c>
      <c r="N97" s="50"/>
      <c r="O97" s="50"/>
    </row>
    <row r="98" ht="65" spans="1:15">
      <c r="A98" s="51"/>
      <c r="B98" s="44" t="s">
        <v>21</v>
      </c>
      <c r="C98" s="44" t="s">
        <v>152</v>
      </c>
      <c r="D98" s="49"/>
      <c r="E98" s="49"/>
      <c r="F98" s="45"/>
      <c r="G98" s="49"/>
      <c r="H98" s="43">
        <v>38</v>
      </c>
      <c r="I98" s="47">
        <v>0.13</v>
      </c>
      <c r="J98" s="43">
        <v>1600</v>
      </c>
      <c r="K98" s="43">
        <v>60800</v>
      </c>
      <c r="L98" s="48" t="s">
        <v>105</v>
      </c>
      <c r="M98" s="49" t="s">
        <v>121</v>
      </c>
      <c r="N98" s="50"/>
      <c r="O98" s="50"/>
    </row>
    <row r="99" ht="26" spans="1:15">
      <c r="A99" s="43">
        <v>21</v>
      </c>
      <c r="B99" s="44" t="s">
        <v>13</v>
      </c>
      <c r="C99" s="44" t="s">
        <v>153</v>
      </c>
      <c r="D99" s="43">
        <v>15</v>
      </c>
      <c r="E99" s="43">
        <v>35</v>
      </c>
      <c r="F99" s="45"/>
      <c r="G99" s="46">
        <v>5.5</v>
      </c>
      <c r="H99" s="43">
        <v>2</v>
      </c>
      <c r="I99" s="47">
        <v>0.13</v>
      </c>
      <c r="J99" s="43">
        <v>2300</v>
      </c>
      <c r="K99" s="43">
        <v>4600</v>
      </c>
      <c r="L99" s="48" t="s">
        <v>105</v>
      </c>
      <c r="M99" s="49" t="s">
        <v>106</v>
      </c>
      <c r="N99" s="50"/>
      <c r="O99" s="50"/>
    </row>
    <row r="100" ht="26" spans="1:15">
      <c r="A100" s="43"/>
      <c r="B100" s="44" t="s">
        <v>15</v>
      </c>
      <c r="C100" s="44" t="s">
        <v>128</v>
      </c>
      <c r="D100" s="49"/>
      <c r="E100" s="49"/>
      <c r="F100" s="45"/>
      <c r="G100" s="49"/>
      <c r="H100" s="43">
        <v>2</v>
      </c>
      <c r="I100" s="47">
        <v>0.13</v>
      </c>
      <c r="J100" s="43">
        <v>200</v>
      </c>
      <c r="K100" s="43">
        <v>400</v>
      </c>
      <c r="L100" s="48" t="s">
        <v>105</v>
      </c>
      <c r="M100" s="51" t="s">
        <v>108</v>
      </c>
      <c r="N100" s="50"/>
      <c r="O100" s="50"/>
    </row>
    <row r="101" ht="39" spans="1:15">
      <c r="A101" s="43"/>
      <c r="B101" s="44" t="s">
        <v>109</v>
      </c>
      <c r="C101" s="44" t="s">
        <v>110</v>
      </c>
      <c r="D101" s="49"/>
      <c r="E101" s="49"/>
      <c r="F101" s="45"/>
      <c r="G101" s="49"/>
      <c r="H101" s="43">
        <v>2</v>
      </c>
      <c r="I101" s="47">
        <v>0.13</v>
      </c>
      <c r="J101" s="43">
        <v>450</v>
      </c>
      <c r="K101" s="43">
        <v>900</v>
      </c>
      <c r="L101" s="48" t="s">
        <v>105</v>
      </c>
      <c r="M101" s="49" t="s">
        <v>111</v>
      </c>
      <c r="N101" s="50"/>
      <c r="O101" s="50"/>
    </row>
    <row r="102" ht="26" spans="1:15">
      <c r="A102" s="43"/>
      <c r="B102" s="44" t="s">
        <v>112</v>
      </c>
      <c r="C102" s="44" t="s">
        <v>113</v>
      </c>
      <c r="D102" s="49"/>
      <c r="E102" s="49"/>
      <c r="F102" s="45"/>
      <c r="G102" s="49"/>
      <c r="H102" s="43">
        <v>2</v>
      </c>
      <c r="I102" s="47">
        <v>0.13</v>
      </c>
      <c r="J102" s="43">
        <v>150</v>
      </c>
      <c r="K102" s="43">
        <v>300</v>
      </c>
      <c r="L102" s="48" t="s">
        <v>105</v>
      </c>
      <c r="M102" s="51" t="s">
        <v>108</v>
      </c>
      <c r="N102" s="50"/>
      <c r="O102" s="50"/>
    </row>
    <row r="103" ht="26" spans="1:15">
      <c r="A103" s="43"/>
      <c r="B103" s="51"/>
      <c r="C103" s="51"/>
      <c r="D103" s="51"/>
      <c r="E103" s="51"/>
      <c r="F103" s="45"/>
      <c r="G103" s="51"/>
      <c r="H103" s="51"/>
      <c r="I103" s="47">
        <v>0.13</v>
      </c>
      <c r="J103" s="51"/>
      <c r="K103" s="51"/>
      <c r="L103" s="48" t="s">
        <v>105</v>
      </c>
      <c r="M103" s="49" t="s">
        <v>154</v>
      </c>
      <c r="N103" s="50"/>
      <c r="O103" s="50"/>
    </row>
    <row r="104" ht="52" spans="1:15">
      <c r="A104" s="43"/>
      <c r="B104" s="53" t="s">
        <v>155</v>
      </c>
      <c r="C104" s="44" t="s">
        <v>152</v>
      </c>
      <c r="D104" s="49"/>
      <c r="E104" s="49"/>
      <c r="F104" s="45"/>
      <c r="G104" s="49"/>
      <c r="H104" s="43">
        <v>1</v>
      </c>
      <c r="I104" s="47">
        <v>0.13</v>
      </c>
      <c r="J104" s="43">
        <v>1600</v>
      </c>
      <c r="K104" s="43">
        <v>1600</v>
      </c>
      <c r="L104" s="48" t="s">
        <v>105</v>
      </c>
      <c r="M104" s="49" t="s">
        <v>156</v>
      </c>
      <c r="N104" s="50"/>
      <c r="O104" s="50"/>
    </row>
    <row r="105" ht="39" spans="1:15">
      <c r="A105" s="43">
        <v>22</v>
      </c>
      <c r="B105" s="44" t="s">
        <v>144</v>
      </c>
      <c r="C105" s="49"/>
      <c r="D105" s="49"/>
      <c r="E105" s="49"/>
      <c r="F105" s="45"/>
      <c r="G105" s="49"/>
      <c r="H105" s="43">
        <v>1</v>
      </c>
      <c r="I105" s="47">
        <v>0.13</v>
      </c>
      <c r="J105" s="51"/>
      <c r="K105" s="51"/>
      <c r="L105" s="48" t="s">
        <v>105</v>
      </c>
      <c r="M105" s="51" t="s">
        <v>108</v>
      </c>
      <c r="N105" s="50"/>
      <c r="O105" s="50"/>
    </row>
    <row r="106" ht="26" spans="1:15">
      <c r="A106" s="51"/>
      <c r="B106" s="44" t="s">
        <v>13</v>
      </c>
      <c r="C106" s="44" t="s">
        <v>157</v>
      </c>
      <c r="D106" s="43">
        <v>20</v>
      </c>
      <c r="E106" s="43">
        <v>35</v>
      </c>
      <c r="F106" s="45"/>
      <c r="G106" s="46">
        <v>7.5</v>
      </c>
      <c r="H106" s="43">
        <v>2</v>
      </c>
      <c r="I106" s="47">
        <v>0.13</v>
      </c>
      <c r="J106" s="43">
        <v>2800</v>
      </c>
      <c r="K106" s="43">
        <v>5600</v>
      </c>
      <c r="L106" s="48" t="s">
        <v>105</v>
      </c>
      <c r="M106" s="49" t="s">
        <v>106</v>
      </c>
      <c r="N106" s="50"/>
      <c r="O106" s="50"/>
    </row>
    <row r="107" ht="26" spans="1:15">
      <c r="A107" s="51"/>
      <c r="B107" s="44" t="s">
        <v>15</v>
      </c>
      <c r="C107" s="44" t="s">
        <v>128</v>
      </c>
      <c r="D107" s="49"/>
      <c r="E107" s="49"/>
      <c r="F107" s="45"/>
      <c r="G107" s="49"/>
      <c r="H107" s="43">
        <v>2</v>
      </c>
      <c r="I107" s="47">
        <v>0.13</v>
      </c>
      <c r="J107" s="43">
        <v>200</v>
      </c>
      <c r="K107" s="43">
        <v>400</v>
      </c>
      <c r="L107" s="48" t="s">
        <v>105</v>
      </c>
      <c r="M107" s="51" t="s">
        <v>108</v>
      </c>
      <c r="N107" s="50"/>
      <c r="O107" s="50"/>
    </row>
    <row r="108" ht="39" spans="1:15">
      <c r="A108" s="51"/>
      <c r="B108" s="44" t="s">
        <v>109</v>
      </c>
      <c r="C108" s="44" t="s">
        <v>146</v>
      </c>
      <c r="D108" s="49"/>
      <c r="E108" s="49"/>
      <c r="F108" s="45"/>
      <c r="G108" s="49"/>
      <c r="H108" s="43">
        <v>2</v>
      </c>
      <c r="I108" s="47">
        <v>0.13</v>
      </c>
      <c r="J108" s="43">
        <v>250</v>
      </c>
      <c r="K108" s="43">
        <v>500</v>
      </c>
      <c r="L108" s="48" t="s">
        <v>105</v>
      </c>
      <c r="M108" s="49" t="s">
        <v>124</v>
      </c>
      <c r="N108" s="50"/>
      <c r="O108" s="50"/>
    </row>
    <row r="109" ht="26" spans="1:15">
      <c r="A109" s="51"/>
      <c r="B109" s="44" t="s">
        <v>112</v>
      </c>
      <c r="C109" s="44" t="s">
        <v>147</v>
      </c>
      <c r="D109" s="49"/>
      <c r="E109" s="49"/>
      <c r="F109" s="45"/>
      <c r="G109" s="49"/>
      <c r="H109" s="43">
        <v>2</v>
      </c>
      <c r="I109" s="47">
        <v>0.13</v>
      </c>
      <c r="J109" s="43">
        <v>60</v>
      </c>
      <c r="K109" s="43">
        <v>120</v>
      </c>
      <c r="L109" s="48" t="s">
        <v>105</v>
      </c>
      <c r="M109" s="49" t="s">
        <v>137</v>
      </c>
      <c r="N109" s="50"/>
      <c r="O109" s="50"/>
    </row>
    <row r="110" ht="91" spans="1:15">
      <c r="A110" s="51"/>
      <c r="B110" s="44" t="s">
        <v>148</v>
      </c>
      <c r="C110" s="44" t="s">
        <v>158</v>
      </c>
      <c r="D110" s="49"/>
      <c r="E110" s="49"/>
      <c r="F110" s="45"/>
      <c r="G110" s="49"/>
      <c r="H110" s="43">
        <v>1</v>
      </c>
      <c r="I110" s="47">
        <v>0.13</v>
      </c>
      <c r="J110" s="43">
        <v>6500</v>
      </c>
      <c r="K110" s="43">
        <v>6500</v>
      </c>
      <c r="L110" s="48" t="s">
        <v>105</v>
      </c>
      <c r="M110" s="51" t="s">
        <v>108</v>
      </c>
      <c r="N110" s="50"/>
      <c r="O110" s="50"/>
    </row>
    <row r="111" ht="65" spans="1:15">
      <c r="A111" s="51"/>
      <c r="B111" s="44" t="s">
        <v>21</v>
      </c>
      <c r="C111" s="44" t="s">
        <v>119</v>
      </c>
      <c r="D111" s="49"/>
      <c r="E111" s="49"/>
      <c r="F111" s="45"/>
      <c r="G111" s="49"/>
      <c r="H111" s="43">
        <v>1</v>
      </c>
      <c r="I111" s="47">
        <v>0.13</v>
      </c>
      <c r="J111" s="43">
        <v>2500</v>
      </c>
      <c r="K111" s="43">
        <v>2500</v>
      </c>
      <c r="L111" s="48" t="s">
        <v>105</v>
      </c>
      <c r="M111" s="49" t="s">
        <v>121</v>
      </c>
      <c r="N111" s="50"/>
      <c r="O111" s="50"/>
    </row>
    <row r="112" ht="26" spans="1:15">
      <c r="A112" s="43">
        <v>24</v>
      </c>
      <c r="B112" s="44" t="s">
        <v>13</v>
      </c>
      <c r="C112" s="44" t="s">
        <v>159</v>
      </c>
      <c r="D112" s="43">
        <v>60</v>
      </c>
      <c r="E112" s="43">
        <v>30</v>
      </c>
      <c r="F112" s="45"/>
      <c r="G112" s="43">
        <v>11</v>
      </c>
      <c r="H112" s="43">
        <v>12</v>
      </c>
      <c r="I112" s="47">
        <v>0.13</v>
      </c>
      <c r="J112" s="43">
        <v>4300</v>
      </c>
      <c r="K112" s="43">
        <v>51600</v>
      </c>
      <c r="L112" s="48" t="s">
        <v>105</v>
      </c>
      <c r="M112" s="49" t="s">
        <v>106</v>
      </c>
      <c r="N112" s="50"/>
      <c r="O112" s="50"/>
    </row>
    <row r="113" ht="26" spans="1:15">
      <c r="A113" s="51"/>
      <c r="B113" s="44" t="s">
        <v>15</v>
      </c>
      <c r="C113" s="44" t="s">
        <v>118</v>
      </c>
      <c r="D113" s="49"/>
      <c r="E113" s="49"/>
      <c r="F113" s="45"/>
      <c r="G113" s="49"/>
      <c r="H113" s="43">
        <v>12</v>
      </c>
      <c r="I113" s="47">
        <v>0.13</v>
      </c>
      <c r="J113" s="43">
        <v>400</v>
      </c>
      <c r="K113" s="43">
        <v>4800</v>
      </c>
      <c r="L113" s="48" t="s">
        <v>105</v>
      </c>
      <c r="M113" s="51" t="s">
        <v>108</v>
      </c>
      <c r="N113" s="50"/>
      <c r="O113" s="50"/>
    </row>
    <row r="114" ht="39" spans="1:15">
      <c r="A114" s="51"/>
      <c r="B114" s="44" t="s">
        <v>109</v>
      </c>
      <c r="C114" s="44" t="s">
        <v>110</v>
      </c>
      <c r="D114" s="49"/>
      <c r="E114" s="49"/>
      <c r="F114" s="45"/>
      <c r="G114" s="49"/>
      <c r="H114" s="43">
        <v>12</v>
      </c>
      <c r="I114" s="47">
        <v>0.13</v>
      </c>
      <c r="J114" s="43">
        <v>650</v>
      </c>
      <c r="K114" s="43">
        <v>7800</v>
      </c>
      <c r="L114" s="48" t="s">
        <v>105</v>
      </c>
      <c r="M114" s="49" t="s">
        <v>111</v>
      </c>
      <c r="N114" s="50"/>
      <c r="O114" s="50"/>
    </row>
    <row r="115" ht="26" spans="1:15">
      <c r="A115" s="51"/>
      <c r="B115" s="44" t="s">
        <v>112</v>
      </c>
      <c r="C115" s="44" t="s">
        <v>113</v>
      </c>
      <c r="D115" s="49"/>
      <c r="E115" s="49"/>
      <c r="F115" s="45"/>
      <c r="G115" s="49"/>
      <c r="H115" s="43">
        <v>12</v>
      </c>
      <c r="I115" s="47">
        <v>0.13</v>
      </c>
      <c r="J115" s="43">
        <v>150</v>
      </c>
      <c r="K115" s="43">
        <v>1800</v>
      </c>
      <c r="L115" s="48" t="s">
        <v>105</v>
      </c>
      <c r="M115" s="49" t="s">
        <v>137</v>
      </c>
      <c r="N115" s="50"/>
      <c r="O115" s="50"/>
    </row>
    <row r="116" ht="65" spans="1:15">
      <c r="A116" s="51"/>
      <c r="B116" s="44" t="s">
        <v>21</v>
      </c>
      <c r="C116" s="44" t="s">
        <v>160</v>
      </c>
      <c r="D116" s="49"/>
      <c r="E116" s="49"/>
      <c r="F116" s="45"/>
      <c r="G116" s="49"/>
      <c r="H116" s="43">
        <v>6</v>
      </c>
      <c r="I116" s="47">
        <v>0.13</v>
      </c>
      <c r="J116" s="43">
        <v>3000</v>
      </c>
      <c r="K116" s="43">
        <v>18000</v>
      </c>
      <c r="L116" s="48" t="s">
        <v>105</v>
      </c>
      <c r="M116" s="49" t="s">
        <v>121</v>
      </c>
      <c r="N116" s="50"/>
      <c r="O116" s="50"/>
    </row>
    <row r="117" ht="26" spans="1:15">
      <c r="A117" s="43">
        <v>25</v>
      </c>
      <c r="B117" s="44" t="s">
        <v>13</v>
      </c>
      <c r="C117" s="44" t="s">
        <v>161</v>
      </c>
      <c r="D117" s="43">
        <v>36</v>
      </c>
      <c r="E117" s="43">
        <v>35</v>
      </c>
      <c r="F117" s="45"/>
      <c r="G117" s="46">
        <v>7.5</v>
      </c>
      <c r="H117" s="43">
        <v>3</v>
      </c>
      <c r="I117" s="47">
        <v>0.13</v>
      </c>
      <c r="J117" s="43">
        <v>2900</v>
      </c>
      <c r="K117" s="43">
        <v>8700</v>
      </c>
      <c r="L117" s="48" t="s">
        <v>105</v>
      </c>
      <c r="M117" s="49" t="s">
        <v>106</v>
      </c>
      <c r="N117" s="50"/>
      <c r="O117" s="50"/>
    </row>
    <row r="118" ht="26" spans="1:15">
      <c r="A118" s="43"/>
      <c r="B118" s="44" t="s">
        <v>15</v>
      </c>
      <c r="C118" s="44" t="s">
        <v>123</v>
      </c>
      <c r="D118" s="49"/>
      <c r="E118" s="49"/>
      <c r="F118" s="45"/>
      <c r="G118" s="49"/>
      <c r="H118" s="43">
        <v>3</v>
      </c>
      <c r="I118" s="47">
        <v>0.13</v>
      </c>
      <c r="J118" s="43">
        <v>250</v>
      </c>
      <c r="K118" s="43">
        <v>750</v>
      </c>
      <c r="L118" s="48" t="s">
        <v>105</v>
      </c>
      <c r="M118" s="51" t="s">
        <v>108</v>
      </c>
      <c r="N118" s="50"/>
      <c r="O118" s="50"/>
    </row>
    <row r="119" ht="39" spans="1:15">
      <c r="A119" s="43"/>
      <c r="B119" s="44" t="s">
        <v>109</v>
      </c>
      <c r="C119" s="44" t="s">
        <v>110</v>
      </c>
      <c r="D119" s="49"/>
      <c r="E119" s="49"/>
      <c r="F119" s="45"/>
      <c r="G119" s="49"/>
      <c r="H119" s="43">
        <v>3</v>
      </c>
      <c r="I119" s="47">
        <v>0.13</v>
      </c>
      <c r="J119" s="43">
        <v>450</v>
      </c>
      <c r="K119" s="43">
        <v>1350</v>
      </c>
      <c r="L119" s="48" t="s">
        <v>105</v>
      </c>
      <c r="M119" s="49" t="s">
        <v>111</v>
      </c>
      <c r="N119" s="50"/>
      <c r="O119" s="50"/>
    </row>
    <row r="120" ht="26" spans="1:15">
      <c r="A120" s="43"/>
      <c r="B120" s="44" t="s">
        <v>112</v>
      </c>
      <c r="C120" s="44" t="s">
        <v>113</v>
      </c>
      <c r="D120" s="49"/>
      <c r="E120" s="49"/>
      <c r="F120" s="45"/>
      <c r="G120" s="49"/>
      <c r="H120" s="43">
        <v>3</v>
      </c>
      <c r="I120" s="47">
        <v>0.13</v>
      </c>
      <c r="J120" s="43">
        <v>150</v>
      </c>
      <c r="K120" s="43">
        <v>450</v>
      </c>
      <c r="L120" s="48" t="s">
        <v>105</v>
      </c>
      <c r="M120" s="49" t="s">
        <v>137</v>
      </c>
      <c r="N120" s="50"/>
      <c r="O120" s="50"/>
    </row>
    <row r="121" ht="39" spans="1:15">
      <c r="A121" s="43"/>
      <c r="B121" s="44" t="s">
        <v>21</v>
      </c>
      <c r="C121" s="44" t="s">
        <v>115</v>
      </c>
      <c r="D121" s="49"/>
      <c r="E121" s="49"/>
      <c r="F121" s="45"/>
      <c r="G121" s="49"/>
      <c r="H121" s="43">
        <v>1</v>
      </c>
      <c r="I121" s="47">
        <v>0.13</v>
      </c>
      <c r="J121" s="43">
        <v>3700</v>
      </c>
      <c r="K121" s="43">
        <v>3700</v>
      </c>
      <c r="L121" s="48" t="s">
        <v>105</v>
      </c>
      <c r="M121" s="49" t="s">
        <v>162</v>
      </c>
      <c r="N121" s="50"/>
      <c r="O121" s="50"/>
    </row>
    <row r="122" ht="39" spans="1:15">
      <c r="A122" s="43"/>
      <c r="B122" s="51"/>
      <c r="C122" s="51"/>
      <c r="D122" s="51"/>
      <c r="E122" s="51"/>
      <c r="F122" s="45"/>
      <c r="G122" s="51"/>
      <c r="H122" s="51"/>
      <c r="I122" s="47">
        <v>0.13</v>
      </c>
      <c r="J122" s="51"/>
      <c r="K122" s="51"/>
      <c r="L122" s="48" t="s">
        <v>105</v>
      </c>
      <c r="M122" s="49" t="s">
        <v>163</v>
      </c>
      <c r="N122" s="50"/>
      <c r="O122" s="50"/>
    </row>
    <row r="123" ht="26" spans="1:15">
      <c r="A123" s="43">
        <v>26</v>
      </c>
      <c r="B123" s="44" t="s">
        <v>13</v>
      </c>
      <c r="C123" s="44" t="s">
        <v>161</v>
      </c>
      <c r="D123" s="43">
        <v>36</v>
      </c>
      <c r="E123" s="43">
        <v>30</v>
      </c>
      <c r="F123" s="45"/>
      <c r="G123" s="46">
        <v>7.5</v>
      </c>
      <c r="H123" s="43">
        <v>3</v>
      </c>
      <c r="I123" s="47">
        <v>0.13</v>
      </c>
      <c r="J123" s="43">
        <v>2900</v>
      </c>
      <c r="K123" s="43">
        <v>8700</v>
      </c>
      <c r="L123" s="48" t="s">
        <v>105</v>
      </c>
      <c r="M123" s="49" t="s">
        <v>106</v>
      </c>
      <c r="N123" s="50"/>
      <c r="O123" s="50"/>
    </row>
    <row r="124" ht="26" spans="1:15">
      <c r="A124" s="51"/>
      <c r="B124" s="44" t="s">
        <v>15</v>
      </c>
      <c r="C124" s="44" t="s">
        <v>123</v>
      </c>
      <c r="D124" s="49"/>
      <c r="E124" s="49"/>
      <c r="F124" s="45"/>
      <c r="G124" s="49"/>
      <c r="H124" s="43">
        <v>3</v>
      </c>
      <c r="I124" s="47">
        <v>0.13</v>
      </c>
      <c r="J124" s="43">
        <v>250</v>
      </c>
      <c r="K124" s="43">
        <v>750</v>
      </c>
      <c r="L124" s="48" t="s">
        <v>105</v>
      </c>
      <c r="M124" s="51" t="s">
        <v>108</v>
      </c>
      <c r="N124" s="50"/>
      <c r="O124" s="50"/>
    </row>
    <row r="125" ht="39" spans="1:15">
      <c r="A125" s="51"/>
      <c r="B125" s="44" t="s">
        <v>109</v>
      </c>
      <c r="C125" s="44" t="s">
        <v>110</v>
      </c>
      <c r="D125" s="49"/>
      <c r="E125" s="49"/>
      <c r="F125" s="45"/>
      <c r="G125" s="49"/>
      <c r="H125" s="43">
        <v>3</v>
      </c>
      <c r="I125" s="47">
        <v>0.13</v>
      </c>
      <c r="J125" s="43">
        <v>450</v>
      </c>
      <c r="K125" s="43">
        <v>1350</v>
      </c>
      <c r="L125" s="48" t="s">
        <v>105</v>
      </c>
      <c r="M125" s="49" t="s">
        <v>111</v>
      </c>
      <c r="N125" s="50"/>
      <c r="O125" s="50"/>
    </row>
    <row r="126" ht="26" spans="1:15">
      <c r="A126" s="51"/>
      <c r="B126" s="44" t="s">
        <v>112</v>
      </c>
      <c r="C126" s="44" t="s">
        <v>113</v>
      </c>
      <c r="D126" s="49"/>
      <c r="E126" s="49"/>
      <c r="F126" s="45"/>
      <c r="G126" s="49"/>
      <c r="H126" s="43">
        <v>3</v>
      </c>
      <c r="I126" s="47">
        <v>0.13</v>
      </c>
      <c r="J126" s="43">
        <v>150</v>
      </c>
      <c r="K126" s="43">
        <v>450</v>
      </c>
      <c r="L126" s="48" t="s">
        <v>105</v>
      </c>
      <c r="M126" s="49" t="s">
        <v>137</v>
      </c>
      <c r="N126" s="50"/>
      <c r="O126" s="50"/>
    </row>
    <row r="127" ht="65" spans="1:15">
      <c r="A127" s="51"/>
      <c r="B127" s="44" t="s">
        <v>21</v>
      </c>
      <c r="C127" s="44" t="s">
        <v>115</v>
      </c>
      <c r="D127" s="49"/>
      <c r="E127" s="49"/>
      <c r="F127" s="45"/>
      <c r="G127" s="49"/>
      <c r="H127" s="43">
        <v>1</v>
      </c>
      <c r="I127" s="47">
        <v>0.13</v>
      </c>
      <c r="J127" s="43">
        <v>3700</v>
      </c>
      <c r="K127" s="43">
        <v>3700</v>
      </c>
      <c r="L127" s="48" t="s">
        <v>105</v>
      </c>
      <c r="M127" s="49" t="s">
        <v>164</v>
      </c>
      <c r="N127" s="50"/>
      <c r="O127" s="50"/>
    </row>
    <row r="128" ht="26" spans="1:15">
      <c r="A128" s="43">
        <v>27</v>
      </c>
      <c r="B128" s="44" t="s">
        <v>13</v>
      </c>
      <c r="C128" s="44" t="s">
        <v>165</v>
      </c>
      <c r="D128" s="43">
        <v>10</v>
      </c>
      <c r="E128" s="43">
        <v>30</v>
      </c>
      <c r="F128" s="45"/>
      <c r="G128" s="43">
        <v>4</v>
      </c>
      <c r="H128" s="43">
        <v>2</v>
      </c>
      <c r="I128" s="47">
        <v>0.13</v>
      </c>
      <c r="J128" s="43">
        <v>1650</v>
      </c>
      <c r="K128" s="43">
        <v>3300</v>
      </c>
      <c r="L128" s="48" t="s">
        <v>105</v>
      </c>
      <c r="M128" s="49" t="s">
        <v>106</v>
      </c>
      <c r="N128" s="50"/>
      <c r="O128" s="50"/>
    </row>
    <row r="129" ht="26" spans="1:15">
      <c r="A129" s="43"/>
      <c r="B129" s="44" t="s">
        <v>15</v>
      </c>
      <c r="C129" s="44" t="s">
        <v>128</v>
      </c>
      <c r="D129" s="49"/>
      <c r="E129" s="49"/>
      <c r="F129" s="45"/>
      <c r="G129" s="49"/>
      <c r="H129" s="43">
        <v>2</v>
      </c>
      <c r="I129" s="47">
        <v>0.13</v>
      </c>
      <c r="J129" s="43">
        <v>200</v>
      </c>
      <c r="K129" s="43">
        <v>400</v>
      </c>
      <c r="L129" s="48" t="s">
        <v>105</v>
      </c>
      <c r="M129" s="51" t="s">
        <v>108</v>
      </c>
      <c r="N129" s="50"/>
      <c r="O129" s="50"/>
    </row>
    <row r="130" ht="39" spans="1:15">
      <c r="A130" s="43"/>
      <c r="B130" s="44" t="s">
        <v>109</v>
      </c>
      <c r="C130" s="44" t="s">
        <v>110</v>
      </c>
      <c r="D130" s="49"/>
      <c r="E130" s="49"/>
      <c r="F130" s="45"/>
      <c r="G130" s="49"/>
      <c r="H130" s="43">
        <v>2</v>
      </c>
      <c r="I130" s="47">
        <v>0.13</v>
      </c>
      <c r="J130" s="43">
        <v>450</v>
      </c>
      <c r="K130" s="43">
        <v>900</v>
      </c>
      <c r="L130" s="48" t="s">
        <v>105</v>
      </c>
      <c r="M130" s="49" t="s">
        <v>124</v>
      </c>
      <c r="N130" s="50"/>
      <c r="O130" s="50"/>
    </row>
    <row r="131" ht="26" spans="1:15">
      <c r="A131" s="43"/>
      <c r="B131" s="44" t="s">
        <v>112</v>
      </c>
      <c r="C131" s="44" t="s">
        <v>113</v>
      </c>
      <c r="D131" s="49"/>
      <c r="E131" s="49"/>
      <c r="F131" s="45"/>
      <c r="G131" s="49"/>
      <c r="H131" s="43">
        <v>2</v>
      </c>
      <c r="I131" s="47">
        <v>0.13</v>
      </c>
      <c r="J131" s="43">
        <v>150</v>
      </c>
      <c r="K131" s="43">
        <v>300</v>
      </c>
      <c r="L131" s="48" t="s">
        <v>105</v>
      </c>
      <c r="M131" s="49" t="s">
        <v>137</v>
      </c>
      <c r="N131" s="50"/>
      <c r="O131" s="50"/>
    </row>
    <row r="132" ht="65" spans="1:15">
      <c r="A132" s="43"/>
      <c r="B132" s="44" t="s">
        <v>21</v>
      </c>
      <c r="C132" s="44" t="s">
        <v>125</v>
      </c>
      <c r="D132" s="49"/>
      <c r="E132" s="49"/>
      <c r="F132" s="45"/>
      <c r="G132" s="49"/>
      <c r="H132" s="43">
        <v>1</v>
      </c>
      <c r="I132" s="47">
        <v>0.13</v>
      </c>
      <c r="J132" s="43">
        <v>1250</v>
      </c>
      <c r="K132" s="43">
        <v>1250</v>
      </c>
      <c r="L132" s="48" t="s">
        <v>105</v>
      </c>
      <c r="M132" s="49" t="s">
        <v>121</v>
      </c>
      <c r="N132" s="50"/>
      <c r="O132" s="50"/>
    </row>
    <row r="133" ht="26" spans="1:15">
      <c r="A133" s="43"/>
      <c r="B133" s="49"/>
      <c r="C133" s="49"/>
      <c r="D133" s="49"/>
      <c r="E133" s="49"/>
      <c r="F133" s="45"/>
      <c r="G133" s="49"/>
      <c r="H133" s="43"/>
      <c r="I133" s="47">
        <v>0.13</v>
      </c>
      <c r="J133" s="43"/>
      <c r="K133" s="43"/>
      <c r="L133" s="48" t="s">
        <v>105</v>
      </c>
      <c r="M133" s="49" t="s">
        <v>108</v>
      </c>
      <c r="N133" s="50"/>
      <c r="O133" s="50"/>
    </row>
    <row r="134" ht="26" spans="1:15">
      <c r="A134" s="43"/>
      <c r="B134" s="44" t="s">
        <v>166</v>
      </c>
      <c r="C134" s="44" t="s">
        <v>167</v>
      </c>
      <c r="D134" s="49"/>
      <c r="E134" s="49"/>
      <c r="F134" s="45"/>
      <c r="G134" s="49"/>
      <c r="H134" s="43">
        <v>223</v>
      </c>
      <c r="I134" s="47">
        <v>0.13</v>
      </c>
      <c r="J134" s="43">
        <v>80</v>
      </c>
      <c r="K134" s="43">
        <v>17840</v>
      </c>
      <c r="L134" s="48" t="s">
        <v>105</v>
      </c>
      <c r="M134" s="49" t="s">
        <v>168</v>
      </c>
      <c r="N134" s="50"/>
      <c r="O134" s="50"/>
    </row>
  </sheetData>
  <autoFilter xmlns:etc="http://www.wps.cn/officeDocument/2017/etCustomData" ref="A1:O134" etc:filterBottomFollowUsedRange="0">
    <extLst/>
  </autoFilter>
  <mergeCells count="25"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8"/>
    <mergeCell ref="A89:A93"/>
    <mergeCell ref="A94:A98"/>
    <mergeCell ref="A99:A104"/>
    <mergeCell ref="A105:A111"/>
    <mergeCell ref="A112:A116"/>
    <mergeCell ref="A117:A122"/>
    <mergeCell ref="A123:A127"/>
    <mergeCell ref="A128:A13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7"/>
  <sheetViews>
    <sheetView zoomScale="70" zoomScaleNormal="70" workbookViewId="0">
      <selection activeCell="G6" sqref="G6"/>
    </sheetView>
  </sheetViews>
  <sheetFormatPr defaultColWidth="8.72727272727273" defaultRowHeight="14"/>
  <cols>
    <col min="1" max="2" width="8.72727272727273" style="23"/>
    <col min="3" max="3" width="21.0909090909091" style="23" customWidth="1"/>
    <col min="4" max="12" width="8.72727272727273" style="23"/>
    <col min="13" max="13" width="87.0181818181818" style="24" customWidth="1"/>
    <col min="14" max="14" width="27.9090909090909" style="23" customWidth="1"/>
    <col min="15" max="15" width="63.5454545454545" style="23" customWidth="1"/>
    <col min="16" max="16384" width="8.72727272727273" style="23"/>
  </cols>
  <sheetData>
    <row r="1" ht="26" spans="1:15">
      <c r="A1" s="25" t="s">
        <v>1</v>
      </c>
      <c r="B1" s="26" t="s">
        <v>2</v>
      </c>
      <c r="C1" s="26" t="s">
        <v>3</v>
      </c>
      <c r="D1" s="25" t="s">
        <v>4</v>
      </c>
      <c r="E1" s="25" t="s">
        <v>5</v>
      </c>
      <c r="F1" s="26" t="s">
        <v>6</v>
      </c>
      <c r="G1" s="25" t="s">
        <v>7</v>
      </c>
      <c r="H1" s="26" t="s">
        <v>8</v>
      </c>
      <c r="I1" s="26" t="s">
        <v>9</v>
      </c>
      <c r="J1" s="27" t="s">
        <v>10</v>
      </c>
      <c r="K1" s="28" t="s">
        <v>11</v>
      </c>
      <c r="L1" s="28" t="s">
        <v>26</v>
      </c>
      <c r="M1" s="25" t="s">
        <v>103</v>
      </c>
    </row>
    <row r="2" ht="52" spans="1:15">
      <c r="A2" s="29">
        <v>1</v>
      </c>
      <c r="B2" s="29" t="s">
        <v>169</v>
      </c>
      <c r="C2" s="30" t="s">
        <v>170</v>
      </c>
      <c r="D2" s="31">
        <v>20</v>
      </c>
      <c r="E2" s="31">
        <v>15</v>
      </c>
      <c r="F2" s="32"/>
      <c r="G2" s="31">
        <v>1.5</v>
      </c>
      <c r="H2" s="30">
        <v>28</v>
      </c>
      <c r="I2" s="33">
        <v>0.13</v>
      </c>
      <c r="J2" s="31">
        <v>1220</v>
      </c>
      <c r="K2" s="31">
        <f t="shared" ref="K2:K65" si="0">J2*H2</f>
        <v>34160</v>
      </c>
      <c r="L2" s="32" t="s">
        <v>171</v>
      </c>
      <c r="M2" s="31" t="s">
        <v>172</v>
      </c>
      <c r="N2" s="24"/>
      <c r="O2" s="24"/>
    </row>
    <row r="3" ht="39" spans="1:15">
      <c r="A3" s="29"/>
      <c r="B3" s="29" t="s">
        <v>21</v>
      </c>
      <c r="C3" s="29" t="s">
        <v>173</v>
      </c>
      <c r="D3" s="29"/>
      <c r="E3" s="29"/>
      <c r="F3" s="32"/>
      <c r="G3" s="29"/>
      <c r="H3" s="29">
        <v>14</v>
      </c>
      <c r="I3" s="33">
        <v>0.13</v>
      </c>
      <c r="J3" s="31">
        <v>2540</v>
      </c>
      <c r="K3" s="31">
        <f t="shared" si="0"/>
        <v>35560</v>
      </c>
      <c r="L3" s="32" t="s">
        <v>171</v>
      </c>
      <c r="M3" s="31" t="s">
        <v>174</v>
      </c>
      <c r="N3" s="24"/>
      <c r="O3" s="24"/>
    </row>
    <row r="4" ht="39" spans="1:15">
      <c r="A4" s="29"/>
      <c r="B4" s="29" t="s">
        <v>15</v>
      </c>
      <c r="C4" s="29" t="s">
        <v>175</v>
      </c>
      <c r="D4" s="29"/>
      <c r="E4" s="29"/>
      <c r="F4" s="32"/>
      <c r="G4" s="29"/>
      <c r="H4" s="29">
        <v>28</v>
      </c>
      <c r="I4" s="33">
        <v>0.13</v>
      </c>
      <c r="J4" s="31">
        <v>340</v>
      </c>
      <c r="K4" s="31">
        <f t="shared" si="0"/>
        <v>9520</v>
      </c>
      <c r="L4" s="32" t="s">
        <v>171</v>
      </c>
      <c r="M4" s="31" t="s">
        <v>176</v>
      </c>
      <c r="N4" s="24"/>
      <c r="O4" s="24"/>
    </row>
    <row r="5" ht="39" spans="1:15">
      <c r="A5" s="29"/>
      <c r="B5" s="29" t="s">
        <v>166</v>
      </c>
      <c r="C5" s="34"/>
      <c r="D5" s="34"/>
      <c r="E5" s="34"/>
      <c r="F5" s="32"/>
      <c r="G5" s="34"/>
      <c r="H5" s="30">
        <v>28</v>
      </c>
      <c r="I5" s="33">
        <v>0.13</v>
      </c>
      <c r="J5" s="30">
        <v>80</v>
      </c>
      <c r="K5" s="31">
        <f t="shared" si="0"/>
        <v>2240</v>
      </c>
      <c r="L5" s="32" t="s">
        <v>171</v>
      </c>
      <c r="M5" s="29" t="s">
        <v>177</v>
      </c>
      <c r="N5" s="24"/>
      <c r="O5" s="24"/>
    </row>
    <row r="6" ht="39" spans="1:15">
      <c r="A6" s="29"/>
      <c r="B6" s="35" t="s">
        <v>17</v>
      </c>
      <c r="C6" s="35" t="s">
        <v>178</v>
      </c>
      <c r="D6" s="34"/>
      <c r="E6" s="34"/>
      <c r="F6" s="32"/>
      <c r="G6" s="34"/>
      <c r="H6" s="30">
        <v>28</v>
      </c>
      <c r="I6" s="33">
        <v>0.13</v>
      </c>
      <c r="J6" s="30">
        <v>165</v>
      </c>
      <c r="K6" s="31">
        <f t="shared" si="0"/>
        <v>4620</v>
      </c>
      <c r="L6" s="32" t="s">
        <v>171</v>
      </c>
      <c r="M6" s="31" t="s">
        <v>179</v>
      </c>
      <c r="N6" s="24"/>
      <c r="O6" s="24"/>
    </row>
    <row r="7" ht="39" spans="1:15">
      <c r="A7" s="29"/>
      <c r="B7" s="35" t="s">
        <v>180</v>
      </c>
      <c r="C7" s="35" t="s">
        <v>181</v>
      </c>
      <c r="D7" s="34"/>
      <c r="E7" s="34"/>
      <c r="F7" s="32"/>
      <c r="G7" s="34"/>
      <c r="H7" s="30">
        <v>28</v>
      </c>
      <c r="I7" s="33">
        <v>0.13</v>
      </c>
      <c r="J7" s="30">
        <v>60</v>
      </c>
      <c r="K7" s="31">
        <f t="shared" si="0"/>
        <v>1680</v>
      </c>
      <c r="L7" s="32" t="s">
        <v>171</v>
      </c>
      <c r="M7" s="29" t="s">
        <v>182</v>
      </c>
      <c r="N7" s="24"/>
      <c r="O7" s="24"/>
    </row>
    <row r="8" ht="52" spans="1:15">
      <c r="A8" s="29">
        <v>2</v>
      </c>
      <c r="B8" s="29" t="s">
        <v>169</v>
      </c>
      <c r="C8" s="29" t="s">
        <v>170</v>
      </c>
      <c r="D8" s="31">
        <v>20</v>
      </c>
      <c r="E8" s="31">
        <v>15</v>
      </c>
      <c r="F8" s="32"/>
      <c r="G8" s="31">
        <v>1.5</v>
      </c>
      <c r="H8" s="29">
        <v>22</v>
      </c>
      <c r="I8" s="33">
        <v>0.13</v>
      </c>
      <c r="J8" s="31">
        <v>1220</v>
      </c>
      <c r="K8" s="31">
        <f t="shared" si="0"/>
        <v>26840</v>
      </c>
      <c r="L8" s="32" t="s">
        <v>171</v>
      </c>
      <c r="M8" s="31" t="s">
        <v>172</v>
      </c>
      <c r="N8" s="24"/>
      <c r="O8" s="24"/>
    </row>
    <row r="9" ht="39" spans="1:15">
      <c r="A9" s="29"/>
      <c r="B9" s="29" t="s">
        <v>21</v>
      </c>
      <c r="C9" s="29" t="s">
        <v>183</v>
      </c>
      <c r="D9" s="29"/>
      <c r="E9" s="29"/>
      <c r="F9" s="32"/>
      <c r="G9" s="29"/>
      <c r="H9" s="29">
        <v>11</v>
      </c>
      <c r="I9" s="33">
        <v>0.13</v>
      </c>
      <c r="J9" s="31">
        <v>1405</v>
      </c>
      <c r="K9" s="31">
        <f t="shared" si="0"/>
        <v>15455</v>
      </c>
      <c r="L9" s="32" t="s">
        <v>171</v>
      </c>
      <c r="M9" s="31" t="s">
        <v>184</v>
      </c>
      <c r="N9" s="24"/>
      <c r="O9" s="24"/>
    </row>
    <row r="10" ht="39" spans="1:15">
      <c r="A10" s="29"/>
      <c r="B10" s="29" t="s">
        <v>15</v>
      </c>
      <c r="C10" s="29" t="s">
        <v>175</v>
      </c>
      <c r="D10" s="36"/>
      <c r="E10" s="36"/>
      <c r="F10" s="32"/>
      <c r="G10" s="36"/>
      <c r="H10" s="29">
        <v>22</v>
      </c>
      <c r="I10" s="33">
        <v>0.13</v>
      </c>
      <c r="J10" s="31">
        <v>340</v>
      </c>
      <c r="K10" s="31">
        <f t="shared" si="0"/>
        <v>7480</v>
      </c>
      <c r="L10" s="32" t="s">
        <v>171</v>
      </c>
      <c r="M10" s="31" t="s">
        <v>176</v>
      </c>
      <c r="N10" s="24"/>
      <c r="O10" s="24"/>
    </row>
    <row r="11" ht="39" spans="1:15">
      <c r="A11" s="29"/>
      <c r="B11" s="29" t="s">
        <v>166</v>
      </c>
      <c r="C11" s="34"/>
      <c r="D11" s="34"/>
      <c r="E11" s="34"/>
      <c r="F11" s="32"/>
      <c r="G11" s="34"/>
      <c r="H11" s="30">
        <v>22</v>
      </c>
      <c r="I11" s="33">
        <v>0.13</v>
      </c>
      <c r="J11" s="30">
        <v>80</v>
      </c>
      <c r="K11" s="31">
        <f t="shared" si="0"/>
        <v>1760</v>
      </c>
      <c r="L11" s="32" t="s">
        <v>171</v>
      </c>
      <c r="M11" s="29" t="s">
        <v>177</v>
      </c>
      <c r="N11" s="24"/>
      <c r="O11" s="24"/>
    </row>
    <row r="12" ht="39" spans="1:15">
      <c r="A12" s="29"/>
      <c r="B12" s="35" t="s">
        <v>17</v>
      </c>
      <c r="C12" s="35" t="s">
        <v>178</v>
      </c>
      <c r="D12" s="34"/>
      <c r="E12" s="34"/>
      <c r="F12" s="32"/>
      <c r="G12" s="34"/>
      <c r="H12" s="30">
        <v>22</v>
      </c>
      <c r="I12" s="33">
        <v>0.13</v>
      </c>
      <c r="J12" s="30">
        <v>165</v>
      </c>
      <c r="K12" s="31">
        <f t="shared" si="0"/>
        <v>3630</v>
      </c>
      <c r="L12" s="32" t="s">
        <v>171</v>
      </c>
      <c r="M12" s="31" t="s">
        <v>179</v>
      </c>
      <c r="N12" s="24"/>
      <c r="O12" s="24"/>
    </row>
    <row r="13" ht="39" spans="1:15">
      <c r="A13" s="29"/>
      <c r="B13" s="35" t="s">
        <v>180</v>
      </c>
      <c r="C13" s="35" t="s">
        <v>181</v>
      </c>
      <c r="D13" s="34"/>
      <c r="E13" s="34"/>
      <c r="F13" s="32"/>
      <c r="G13" s="34"/>
      <c r="H13" s="30">
        <v>22</v>
      </c>
      <c r="I13" s="33">
        <v>0.13</v>
      </c>
      <c r="J13" s="30">
        <v>60</v>
      </c>
      <c r="K13" s="31">
        <f t="shared" si="0"/>
        <v>1320</v>
      </c>
      <c r="L13" s="32" t="s">
        <v>171</v>
      </c>
      <c r="M13" s="29" t="s">
        <v>182</v>
      </c>
      <c r="N13" s="24"/>
      <c r="O13" s="24"/>
    </row>
    <row r="14" ht="52" spans="1:15">
      <c r="A14" s="29">
        <v>3</v>
      </c>
      <c r="B14" s="29" t="s">
        <v>185</v>
      </c>
      <c r="C14" s="29" t="s">
        <v>170</v>
      </c>
      <c r="D14" s="31">
        <v>20</v>
      </c>
      <c r="E14" s="31">
        <v>15</v>
      </c>
      <c r="F14" s="32"/>
      <c r="G14" s="31">
        <v>1.5</v>
      </c>
      <c r="H14" s="29">
        <v>4</v>
      </c>
      <c r="I14" s="33">
        <v>0.13</v>
      </c>
      <c r="J14" s="31">
        <v>1220</v>
      </c>
      <c r="K14" s="31">
        <f t="shared" si="0"/>
        <v>4880</v>
      </c>
      <c r="L14" s="32" t="s">
        <v>171</v>
      </c>
      <c r="M14" s="31" t="s">
        <v>172</v>
      </c>
      <c r="N14" s="24"/>
      <c r="O14" s="24"/>
    </row>
    <row r="15" ht="39" spans="1:15">
      <c r="A15" s="29"/>
      <c r="B15" s="29" t="s">
        <v>21</v>
      </c>
      <c r="C15" s="29" t="s">
        <v>183</v>
      </c>
      <c r="D15" s="29"/>
      <c r="E15" s="29"/>
      <c r="F15" s="32"/>
      <c r="G15" s="29"/>
      <c r="H15" s="29">
        <v>2</v>
      </c>
      <c r="I15" s="33">
        <v>0.13</v>
      </c>
      <c r="J15" s="31">
        <v>1405</v>
      </c>
      <c r="K15" s="31">
        <f t="shared" si="0"/>
        <v>2810</v>
      </c>
      <c r="L15" s="32" t="s">
        <v>171</v>
      </c>
      <c r="M15" s="31" t="s">
        <v>184</v>
      </c>
      <c r="N15" s="24"/>
      <c r="O15" s="24"/>
    </row>
    <row r="16" ht="39" spans="1:15">
      <c r="A16" s="29"/>
      <c r="B16" s="29" t="s">
        <v>15</v>
      </c>
      <c r="C16" s="29" t="s">
        <v>175</v>
      </c>
      <c r="D16" s="36"/>
      <c r="E16" s="36"/>
      <c r="F16" s="32"/>
      <c r="G16" s="36"/>
      <c r="H16" s="29">
        <v>4</v>
      </c>
      <c r="I16" s="33">
        <v>0.13</v>
      </c>
      <c r="J16" s="31">
        <v>340</v>
      </c>
      <c r="K16" s="31">
        <f t="shared" si="0"/>
        <v>1360</v>
      </c>
      <c r="L16" s="32" t="s">
        <v>171</v>
      </c>
      <c r="M16" s="31" t="s">
        <v>176</v>
      </c>
      <c r="N16" s="24"/>
      <c r="O16" s="24"/>
    </row>
    <row r="17" ht="39" spans="1:15">
      <c r="A17" s="29"/>
      <c r="B17" s="29" t="s">
        <v>166</v>
      </c>
      <c r="C17" s="34"/>
      <c r="D17" s="34"/>
      <c r="E17" s="34"/>
      <c r="F17" s="32"/>
      <c r="G17" s="34"/>
      <c r="H17" s="29">
        <v>4</v>
      </c>
      <c r="I17" s="33">
        <v>0.13</v>
      </c>
      <c r="J17" s="30">
        <v>80</v>
      </c>
      <c r="K17" s="31">
        <f t="shared" si="0"/>
        <v>320</v>
      </c>
      <c r="L17" s="32" t="s">
        <v>171</v>
      </c>
      <c r="M17" s="29" t="s">
        <v>177</v>
      </c>
      <c r="N17" s="24"/>
      <c r="O17" s="24"/>
    </row>
    <row r="18" ht="39" spans="1:15">
      <c r="A18" s="29"/>
      <c r="B18" s="35" t="s">
        <v>17</v>
      </c>
      <c r="C18" s="35" t="s">
        <v>178</v>
      </c>
      <c r="D18" s="34"/>
      <c r="E18" s="34"/>
      <c r="F18" s="32"/>
      <c r="G18" s="34"/>
      <c r="H18" s="29">
        <v>4</v>
      </c>
      <c r="I18" s="33">
        <v>0.13</v>
      </c>
      <c r="J18" s="30">
        <v>165</v>
      </c>
      <c r="K18" s="31">
        <f t="shared" si="0"/>
        <v>660</v>
      </c>
      <c r="L18" s="32" t="s">
        <v>171</v>
      </c>
      <c r="M18" s="31" t="s">
        <v>179</v>
      </c>
      <c r="N18" s="24"/>
      <c r="O18" s="24"/>
    </row>
    <row r="19" ht="39" spans="1:15">
      <c r="A19" s="29"/>
      <c r="B19" s="35" t="s">
        <v>180</v>
      </c>
      <c r="C19" s="35" t="s">
        <v>181</v>
      </c>
      <c r="D19" s="34"/>
      <c r="E19" s="34"/>
      <c r="F19" s="32"/>
      <c r="G19" s="34"/>
      <c r="H19" s="29">
        <v>4</v>
      </c>
      <c r="I19" s="33">
        <v>0.13</v>
      </c>
      <c r="J19" s="30">
        <v>60</v>
      </c>
      <c r="K19" s="31">
        <f t="shared" si="0"/>
        <v>240</v>
      </c>
      <c r="L19" s="32" t="s">
        <v>171</v>
      </c>
      <c r="M19" s="29" t="s">
        <v>182</v>
      </c>
      <c r="N19" s="24"/>
      <c r="O19" s="24"/>
    </row>
    <row r="20" ht="52" spans="1:15">
      <c r="A20" s="29">
        <v>4</v>
      </c>
      <c r="B20" s="29" t="s">
        <v>186</v>
      </c>
      <c r="C20" s="29" t="s">
        <v>187</v>
      </c>
      <c r="D20" s="31">
        <v>50</v>
      </c>
      <c r="E20" s="31">
        <v>15</v>
      </c>
      <c r="F20" s="32"/>
      <c r="G20" s="31">
        <v>4</v>
      </c>
      <c r="H20" s="29">
        <v>4</v>
      </c>
      <c r="I20" s="33">
        <v>0.13</v>
      </c>
      <c r="J20" s="31">
        <v>2030</v>
      </c>
      <c r="K20" s="31">
        <f t="shared" si="0"/>
        <v>8120</v>
      </c>
      <c r="L20" s="32" t="s">
        <v>171</v>
      </c>
      <c r="M20" s="31" t="s">
        <v>172</v>
      </c>
      <c r="N20" s="24"/>
      <c r="O20" s="24"/>
    </row>
    <row r="21" ht="39" spans="1:15">
      <c r="A21" s="29"/>
      <c r="B21" s="29" t="s">
        <v>21</v>
      </c>
      <c r="C21" s="29" t="s">
        <v>188</v>
      </c>
      <c r="D21" s="29"/>
      <c r="E21" s="29"/>
      <c r="F21" s="32"/>
      <c r="G21" s="29"/>
      <c r="H21" s="29">
        <v>2</v>
      </c>
      <c r="I21" s="33">
        <v>0.13</v>
      </c>
      <c r="J21" s="31">
        <v>1405</v>
      </c>
      <c r="K21" s="31">
        <f t="shared" si="0"/>
        <v>2810</v>
      </c>
      <c r="L21" s="32" t="s">
        <v>171</v>
      </c>
      <c r="M21" s="31" t="s">
        <v>184</v>
      </c>
      <c r="N21" s="24"/>
      <c r="O21" s="24"/>
    </row>
    <row r="22" ht="39" spans="1:15">
      <c r="A22" s="29"/>
      <c r="B22" s="29" t="s">
        <v>15</v>
      </c>
      <c r="C22" s="29" t="s">
        <v>189</v>
      </c>
      <c r="D22" s="36"/>
      <c r="E22" s="36"/>
      <c r="F22" s="32"/>
      <c r="G22" s="36"/>
      <c r="H22" s="29">
        <v>4</v>
      </c>
      <c r="I22" s="33">
        <v>0.13</v>
      </c>
      <c r="J22" s="31">
        <v>590</v>
      </c>
      <c r="K22" s="31">
        <f t="shared" si="0"/>
        <v>2360</v>
      </c>
      <c r="L22" s="32" t="s">
        <v>171</v>
      </c>
      <c r="M22" s="31" t="s">
        <v>176</v>
      </c>
      <c r="N22" s="24"/>
      <c r="O22" s="24"/>
    </row>
    <row r="23" ht="39" spans="1:15">
      <c r="A23" s="29"/>
      <c r="B23" s="29" t="s">
        <v>166</v>
      </c>
      <c r="C23" s="34"/>
      <c r="D23" s="34"/>
      <c r="E23" s="34"/>
      <c r="F23" s="32"/>
      <c r="G23" s="34"/>
      <c r="H23" s="29">
        <v>4</v>
      </c>
      <c r="I23" s="33">
        <v>0.13</v>
      </c>
      <c r="J23" s="30">
        <v>80</v>
      </c>
      <c r="K23" s="31">
        <f t="shared" si="0"/>
        <v>320</v>
      </c>
      <c r="L23" s="32" t="s">
        <v>171</v>
      </c>
      <c r="M23" s="29" t="s">
        <v>177</v>
      </c>
      <c r="N23" s="24"/>
      <c r="O23" s="24"/>
    </row>
    <row r="24" ht="39" spans="1:15">
      <c r="A24" s="29"/>
      <c r="B24" s="35" t="s">
        <v>17</v>
      </c>
      <c r="C24" s="35" t="s">
        <v>178</v>
      </c>
      <c r="D24" s="34"/>
      <c r="E24" s="34"/>
      <c r="F24" s="32"/>
      <c r="G24" s="34"/>
      <c r="H24" s="29">
        <v>4</v>
      </c>
      <c r="I24" s="33">
        <v>0.13</v>
      </c>
      <c r="J24" s="30">
        <v>165</v>
      </c>
      <c r="K24" s="31">
        <f t="shared" si="0"/>
        <v>660</v>
      </c>
      <c r="L24" s="32" t="s">
        <v>171</v>
      </c>
      <c r="M24" s="31" t="s">
        <v>179</v>
      </c>
      <c r="N24" s="24"/>
      <c r="O24" s="24"/>
    </row>
    <row r="25" ht="39" spans="1:15">
      <c r="A25" s="29"/>
      <c r="B25" s="35" t="s">
        <v>180</v>
      </c>
      <c r="C25" s="35" t="s">
        <v>181</v>
      </c>
      <c r="D25" s="34"/>
      <c r="E25" s="34"/>
      <c r="F25" s="32"/>
      <c r="G25" s="34"/>
      <c r="H25" s="29">
        <v>4</v>
      </c>
      <c r="I25" s="33">
        <v>0.13</v>
      </c>
      <c r="J25" s="30">
        <v>60</v>
      </c>
      <c r="K25" s="31">
        <f t="shared" si="0"/>
        <v>240</v>
      </c>
      <c r="L25" s="32" t="s">
        <v>171</v>
      </c>
      <c r="M25" s="29" t="s">
        <v>182</v>
      </c>
      <c r="N25" s="24"/>
      <c r="O25" s="24"/>
    </row>
    <row r="26" ht="52" spans="1:15">
      <c r="A26" s="29">
        <v>5</v>
      </c>
      <c r="B26" s="29" t="s">
        <v>190</v>
      </c>
      <c r="C26" s="29" t="s">
        <v>191</v>
      </c>
      <c r="D26" s="31">
        <v>65</v>
      </c>
      <c r="E26" s="31">
        <v>15</v>
      </c>
      <c r="F26" s="32"/>
      <c r="G26" s="31">
        <v>5.5</v>
      </c>
      <c r="H26" s="29">
        <v>3</v>
      </c>
      <c r="I26" s="33">
        <v>0.13</v>
      </c>
      <c r="J26" s="31">
        <v>2650</v>
      </c>
      <c r="K26" s="31">
        <f t="shared" si="0"/>
        <v>7950</v>
      </c>
      <c r="L26" s="32" t="s">
        <v>171</v>
      </c>
      <c r="M26" s="31" t="s">
        <v>172</v>
      </c>
      <c r="N26" s="24"/>
      <c r="O26" s="24"/>
    </row>
    <row r="27" ht="39" spans="1:15">
      <c r="A27" s="29"/>
      <c r="B27" s="29" t="s">
        <v>21</v>
      </c>
      <c r="C27" s="29" t="s">
        <v>192</v>
      </c>
      <c r="D27" s="29"/>
      <c r="E27" s="29"/>
      <c r="F27" s="32"/>
      <c r="G27" s="29"/>
      <c r="H27" s="29">
        <v>1</v>
      </c>
      <c r="I27" s="33">
        <v>0.13</v>
      </c>
      <c r="J27" s="31">
        <v>2100</v>
      </c>
      <c r="K27" s="31">
        <f t="shared" si="0"/>
        <v>2100</v>
      </c>
      <c r="L27" s="32" t="s">
        <v>171</v>
      </c>
      <c r="M27" s="31" t="s">
        <v>193</v>
      </c>
      <c r="N27" s="24"/>
      <c r="O27" s="24"/>
    </row>
    <row r="28" ht="39" spans="1:15">
      <c r="A28" s="29"/>
      <c r="B28" s="29" t="s">
        <v>15</v>
      </c>
      <c r="C28" s="29" t="s">
        <v>189</v>
      </c>
      <c r="D28" s="36"/>
      <c r="E28" s="36"/>
      <c r="F28" s="32"/>
      <c r="G28" s="36"/>
      <c r="H28" s="29">
        <v>3</v>
      </c>
      <c r="I28" s="33">
        <v>0.13</v>
      </c>
      <c r="J28" s="31">
        <v>590</v>
      </c>
      <c r="K28" s="31">
        <f t="shared" si="0"/>
        <v>1770</v>
      </c>
      <c r="L28" s="32" t="s">
        <v>171</v>
      </c>
      <c r="M28" s="31" t="s">
        <v>176</v>
      </c>
      <c r="N28" s="24"/>
      <c r="O28" s="24"/>
    </row>
    <row r="29" ht="39" spans="1:15">
      <c r="A29" s="29"/>
      <c r="B29" s="29" t="s">
        <v>166</v>
      </c>
      <c r="C29" s="34"/>
      <c r="D29" s="34"/>
      <c r="E29" s="34"/>
      <c r="F29" s="32"/>
      <c r="G29" s="34"/>
      <c r="H29" s="29">
        <v>3</v>
      </c>
      <c r="I29" s="33">
        <v>0.13</v>
      </c>
      <c r="J29" s="30">
        <v>80</v>
      </c>
      <c r="K29" s="31">
        <f t="shared" si="0"/>
        <v>240</v>
      </c>
      <c r="L29" s="32" t="s">
        <v>171</v>
      </c>
      <c r="M29" s="29" t="s">
        <v>177</v>
      </c>
      <c r="N29" s="24"/>
      <c r="O29" s="24"/>
    </row>
    <row r="30" ht="39" spans="1:15">
      <c r="A30" s="29"/>
      <c r="B30" s="35" t="s">
        <v>17</v>
      </c>
      <c r="C30" s="35" t="s">
        <v>178</v>
      </c>
      <c r="D30" s="34"/>
      <c r="E30" s="34"/>
      <c r="F30" s="32"/>
      <c r="G30" s="34"/>
      <c r="H30" s="29">
        <v>3</v>
      </c>
      <c r="I30" s="33">
        <v>0.13</v>
      </c>
      <c r="J30" s="30">
        <v>165</v>
      </c>
      <c r="K30" s="31">
        <f t="shared" si="0"/>
        <v>495</v>
      </c>
      <c r="L30" s="32" t="s">
        <v>171</v>
      </c>
      <c r="M30" s="31" t="s">
        <v>179</v>
      </c>
      <c r="N30" s="24"/>
      <c r="O30" s="24"/>
    </row>
    <row r="31" ht="39" spans="1:15">
      <c r="A31" s="29"/>
      <c r="B31" s="35" t="s">
        <v>180</v>
      </c>
      <c r="C31" s="35" t="s">
        <v>181</v>
      </c>
      <c r="D31" s="34"/>
      <c r="E31" s="34"/>
      <c r="F31" s="32"/>
      <c r="G31" s="34"/>
      <c r="H31" s="29">
        <v>3</v>
      </c>
      <c r="I31" s="33">
        <v>0.13</v>
      </c>
      <c r="J31" s="30">
        <v>60</v>
      </c>
      <c r="K31" s="31">
        <f t="shared" si="0"/>
        <v>180</v>
      </c>
      <c r="L31" s="32" t="s">
        <v>171</v>
      </c>
      <c r="M31" s="29" t="s">
        <v>182</v>
      </c>
      <c r="N31" s="24"/>
      <c r="O31" s="24"/>
    </row>
    <row r="32" ht="52" spans="1:15">
      <c r="A32" s="29">
        <v>6</v>
      </c>
      <c r="B32" s="29" t="s">
        <v>194</v>
      </c>
      <c r="C32" s="29" t="s">
        <v>170</v>
      </c>
      <c r="D32" s="31">
        <v>15</v>
      </c>
      <c r="E32" s="31">
        <v>15</v>
      </c>
      <c r="F32" s="32"/>
      <c r="G32" s="31">
        <v>1.5</v>
      </c>
      <c r="H32" s="29">
        <v>2</v>
      </c>
      <c r="I32" s="33">
        <v>0.13</v>
      </c>
      <c r="J32" s="31">
        <v>1220</v>
      </c>
      <c r="K32" s="31">
        <f t="shared" si="0"/>
        <v>2440</v>
      </c>
      <c r="L32" s="32" t="s">
        <v>171</v>
      </c>
      <c r="M32" s="31" t="s">
        <v>172</v>
      </c>
      <c r="N32" s="24"/>
      <c r="O32" s="24"/>
    </row>
    <row r="33" ht="39" spans="1:15">
      <c r="A33" s="29"/>
      <c r="B33" s="29" t="s">
        <v>21</v>
      </c>
      <c r="C33" s="29" t="s">
        <v>183</v>
      </c>
      <c r="D33" s="29"/>
      <c r="E33" s="29"/>
      <c r="F33" s="32"/>
      <c r="G33" s="29"/>
      <c r="H33" s="29">
        <v>1</v>
      </c>
      <c r="I33" s="33">
        <v>0.13</v>
      </c>
      <c r="J33" s="31">
        <v>1405</v>
      </c>
      <c r="K33" s="31">
        <f t="shared" si="0"/>
        <v>1405</v>
      </c>
      <c r="L33" s="32" t="s">
        <v>171</v>
      </c>
      <c r="M33" s="31" t="s">
        <v>184</v>
      </c>
      <c r="N33" s="24"/>
      <c r="O33" s="24"/>
    </row>
    <row r="34" ht="39" spans="1:15">
      <c r="A34" s="29"/>
      <c r="B34" s="29" t="s">
        <v>15</v>
      </c>
      <c r="C34" s="29" t="s">
        <v>175</v>
      </c>
      <c r="D34" s="36"/>
      <c r="E34" s="36"/>
      <c r="F34" s="32"/>
      <c r="G34" s="36"/>
      <c r="H34" s="29">
        <v>2</v>
      </c>
      <c r="I34" s="33">
        <v>0.13</v>
      </c>
      <c r="J34" s="31">
        <v>340</v>
      </c>
      <c r="K34" s="31">
        <f t="shared" si="0"/>
        <v>680</v>
      </c>
      <c r="L34" s="32" t="s">
        <v>171</v>
      </c>
      <c r="M34" s="31" t="s">
        <v>176</v>
      </c>
      <c r="N34" s="24"/>
      <c r="O34" s="24"/>
    </row>
    <row r="35" ht="39" spans="1:15">
      <c r="A35" s="29"/>
      <c r="B35" s="29" t="s">
        <v>166</v>
      </c>
      <c r="C35" s="34"/>
      <c r="D35" s="34"/>
      <c r="E35" s="34"/>
      <c r="F35" s="32"/>
      <c r="G35" s="34"/>
      <c r="H35" s="29">
        <v>2</v>
      </c>
      <c r="I35" s="33">
        <v>0.13</v>
      </c>
      <c r="J35" s="30">
        <v>80</v>
      </c>
      <c r="K35" s="31">
        <f t="shared" si="0"/>
        <v>160</v>
      </c>
      <c r="L35" s="32" t="s">
        <v>171</v>
      </c>
      <c r="M35" s="29" t="s">
        <v>177</v>
      </c>
      <c r="N35" s="24"/>
      <c r="O35" s="24"/>
    </row>
    <row r="36" ht="39" spans="1:15">
      <c r="A36" s="29"/>
      <c r="B36" s="35" t="s">
        <v>17</v>
      </c>
      <c r="C36" s="35" t="s">
        <v>178</v>
      </c>
      <c r="D36" s="34"/>
      <c r="E36" s="34"/>
      <c r="F36" s="32"/>
      <c r="G36" s="34"/>
      <c r="H36" s="29">
        <v>2</v>
      </c>
      <c r="I36" s="33">
        <v>0.13</v>
      </c>
      <c r="J36" s="30">
        <v>165</v>
      </c>
      <c r="K36" s="31">
        <f t="shared" si="0"/>
        <v>330</v>
      </c>
      <c r="L36" s="32" t="s">
        <v>171</v>
      </c>
      <c r="M36" s="31" t="s">
        <v>179</v>
      </c>
      <c r="N36" s="24"/>
      <c r="O36" s="24"/>
    </row>
    <row r="37" ht="39" spans="1:15">
      <c r="A37" s="29"/>
      <c r="B37" s="35" t="s">
        <v>180</v>
      </c>
      <c r="C37" s="35" t="s">
        <v>181</v>
      </c>
      <c r="D37" s="34"/>
      <c r="E37" s="34"/>
      <c r="F37" s="32"/>
      <c r="G37" s="34"/>
      <c r="H37" s="29">
        <v>2</v>
      </c>
      <c r="I37" s="33">
        <v>0.13</v>
      </c>
      <c r="J37" s="30">
        <v>60</v>
      </c>
      <c r="K37" s="31">
        <f t="shared" si="0"/>
        <v>120</v>
      </c>
      <c r="L37" s="32" t="s">
        <v>171</v>
      </c>
      <c r="M37" s="29" t="s">
        <v>182</v>
      </c>
      <c r="N37" s="24"/>
      <c r="O37" s="24"/>
    </row>
    <row r="38" ht="39" spans="1:15">
      <c r="A38" s="29">
        <v>7</v>
      </c>
      <c r="B38" s="29" t="s">
        <v>195</v>
      </c>
      <c r="C38" s="29" t="s">
        <v>187</v>
      </c>
      <c r="D38" s="31">
        <v>40</v>
      </c>
      <c r="E38" s="31">
        <v>14</v>
      </c>
      <c r="F38" s="32"/>
      <c r="G38" s="31">
        <v>4</v>
      </c>
      <c r="H38" s="29">
        <v>10</v>
      </c>
      <c r="I38" s="33">
        <v>0.13</v>
      </c>
      <c r="J38" s="31">
        <v>2030</v>
      </c>
      <c r="K38" s="31">
        <f t="shared" si="0"/>
        <v>20300</v>
      </c>
      <c r="L38" s="32" t="s">
        <v>171</v>
      </c>
      <c r="M38" s="31" t="s">
        <v>172</v>
      </c>
      <c r="N38" s="24"/>
      <c r="O38" s="24"/>
    </row>
    <row r="39" ht="39" spans="1:15">
      <c r="A39" s="29"/>
      <c r="B39" s="29" t="s">
        <v>21</v>
      </c>
      <c r="C39" s="29" t="s">
        <v>188</v>
      </c>
      <c r="D39" s="29"/>
      <c r="E39" s="29"/>
      <c r="F39" s="32"/>
      <c r="G39" s="29"/>
      <c r="H39" s="29">
        <v>5</v>
      </c>
      <c r="I39" s="33">
        <v>0.13</v>
      </c>
      <c r="J39" s="31">
        <v>1405</v>
      </c>
      <c r="K39" s="31">
        <f t="shared" si="0"/>
        <v>7025</v>
      </c>
      <c r="L39" s="32" t="s">
        <v>171</v>
      </c>
      <c r="M39" s="31" t="s">
        <v>184</v>
      </c>
      <c r="N39" s="24"/>
      <c r="O39" s="24"/>
    </row>
    <row r="40" ht="39" spans="1:15">
      <c r="A40" s="29"/>
      <c r="B40" s="29" t="s">
        <v>15</v>
      </c>
      <c r="C40" s="29" t="s">
        <v>189</v>
      </c>
      <c r="D40" s="36"/>
      <c r="E40" s="36"/>
      <c r="F40" s="32"/>
      <c r="G40" s="36"/>
      <c r="H40" s="29">
        <v>10</v>
      </c>
      <c r="I40" s="33">
        <v>0.13</v>
      </c>
      <c r="J40" s="31">
        <v>590</v>
      </c>
      <c r="K40" s="31">
        <f t="shared" si="0"/>
        <v>5900</v>
      </c>
      <c r="L40" s="32" t="s">
        <v>171</v>
      </c>
      <c r="M40" s="31" t="s">
        <v>176</v>
      </c>
      <c r="N40" s="24"/>
      <c r="O40" s="24"/>
    </row>
    <row r="41" ht="39" spans="1:15">
      <c r="A41" s="29"/>
      <c r="B41" s="29" t="s">
        <v>166</v>
      </c>
      <c r="C41" s="34"/>
      <c r="D41" s="34"/>
      <c r="E41" s="34"/>
      <c r="F41" s="32"/>
      <c r="G41" s="34"/>
      <c r="H41" s="29">
        <v>10</v>
      </c>
      <c r="I41" s="33">
        <v>0.13</v>
      </c>
      <c r="J41" s="30">
        <v>80</v>
      </c>
      <c r="K41" s="31">
        <f t="shared" si="0"/>
        <v>800</v>
      </c>
      <c r="L41" s="32" t="s">
        <v>171</v>
      </c>
      <c r="M41" s="29" t="s">
        <v>177</v>
      </c>
      <c r="N41" s="24"/>
      <c r="O41" s="24"/>
    </row>
    <row r="42" ht="39" spans="1:15">
      <c r="A42" s="29"/>
      <c r="B42" s="35" t="s">
        <v>17</v>
      </c>
      <c r="C42" s="35" t="s">
        <v>178</v>
      </c>
      <c r="D42" s="34"/>
      <c r="E42" s="34"/>
      <c r="F42" s="32"/>
      <c r="G42" s="34"/>
      <c r="H42" s="29">
        <v>10</v>
      </c>
      <c r="I42" s="33">
        <v>0.13</v>
      </c>
      <c r="J42" s="30">
        <v>165</v>
      </c>
      <c r="K42" s="31">
        <f t="shared" si="0"/>
        <v>1650</v>
      </c>
      <c r="L42" s="32" t="s">
        <v>171</v>
      </c>
      <c r="M42" s="31" t="s">
        <v>179</v>
      </c>
      <c r="N42" s="24"/>
      <c r="O42" s="24"/>
    </row>
    <row r="43" ht="39" spans="1:15">
      <c r="A43" s="29"/>
      <c r="B43" s="35" t="s">
        <v>180</v>
      </c>
      <c r="C43" s="35" t="s">
        <v>181</v>
      </c>
      <c r="D43" s="34"/>
      <c r="E43" s="34"/>
      <c r="F43" s="32"/>
      <c r="G43" s="34"/>
      <c r="H43" s="29">
        <v>10</v>
      </c>
      <c r="I43" s="33">
        <v>0.13</v>
      </c>
      <c r="J43" s="30">
        <v>60</v>
      </c>
      <c r="K43" s="31">
        <f t="shared" si="0"/>
        <v>600</v>
      </c>
      <c r="L43" s="32" t="s">
        <v>171</v>
      </c>
      <c r="M43" s="29" t="s">
        <v>182</v>
      </c>
      <c r="N43" s="24"/>
      <c r="O43" s="24"/>
    </row>
    <row r="44" ht="52" spans="1:15">
      <c r="A44" s="29">
        <v>8</v>
      </c>
      <c r="B44" s="29" t="s">
        <v>196</v>
      </c>
      <c r="C44" s="29" t="s">
        <v>170</v>
      </c>
      <c r="D44" s="31">
        <v>20</v>
      </c>
      <c r="E44" s="31">
        <v>15</v>
      </c>
      <c r="F44" s="32"/>
      <c r="G44" s="31">
        <v>1.5</v>
      </c>
      <c r="H44" s="29">
        <v>4</v>
      </c>
      <c r="I44" s="33">
        <v>0.13</v>
      </c>
      <c r="J44" s="31">
        <v>1220</v>
      </c>
      <c r="K44" s="31">
        <f t="shared" si="0"/>
        <v>4880</v>
      </c>
      <c r="L44" s="32" t="s">
        <v>171</v>
      </c>
      <c r="M44" s="31" t="s">
        <v>172</v>
      </c>
      <c r="N44" s="24"/>
      <c r="O44" s="24"/>
    </row>
    <row r="45" ht="39" spans="1:15">
      <c r="A45" s="29"/>
      <c r="B45" s="29" t="s">
        <v>21</v>
      </c>
      <c r="C45" s="29" t="s">
        <v>183</v>
      </c>
      <c r="D45" s="29"/>
      <c r="E45" s="29"/>
      <c r="F45" s="32"/>
      <c r="G45" s="29"/>
      <c r="H45" s="29">
        <v>2</v>
      </c>
      <c r="I45" s="33">
        <v>0.13</v>
      </c>
      <c r="J45" s="31">
        <v>1405</v>
      </c>
      <c r="K45" s="31">
        <f t="shared" si="0"/>
        <v>2810</v>
      </c>
      <c r="L45" s="32" t="s">
        <v>171</v>
      </c>
      <c r="M45" s="31" t="s">
        <v>184</v>
      </c>
      <c r="N45" s="24"/>
      <c r="O45" s="24"/>
    </row>
    <row r="46" ht="39" spans="1:15">
      <c r="A46" s="29"/>
      <c r="B46" s="29" t="s">
        <v>15</v>
      </c>
      <c r="C46" s="29" t="s">
        <v>175</v>
      </c>
      <c r="D46" s="36"/>
      <c r="E46" s="36"/>
      <c r="F46" s="32"/>
      <c r="G46" s="36"/>
      <c r="H46" s="29">
        <v>4</v>
      </c>
      <c r="I46" s="33">
        <v>0.13</v>
      </c>
      <c r="J46" s="31">
        <v>340</v>
      </c>
      <c r="K46" s="31">
        <f t="shared" si="0"/>
        <v>1360</v>
      </c>
      <c r="L46" s="32" t="s">
        <v>171</v>
      </c>
      <c r="M46" s="31" t="s">
        <v>176</v>
      </c>
      <c r="N46" s="24"/>
      <c r="O46" s="24"/>
    </row>
    <row r="47" ht="39" spans="1:15">
      <c r="A47" s="29"/>
      <c r="B47" s="29" t="s">
        <v>166</v>
      </c>
      <c r="C47" s="34"/>
      <c r="D47" s="34"/>
      <c r="E47" s="34"/>
      <c r="F47" s="32"/>
      <c r="G47" s="34"/>
      <c r="H47" s="29">
        <v>4</v>
      </c>
      <c r="I47" s="33">
        <v>0.13</v>
      </c>
      <c r="J47" s="30">
        <v>80</v>
      </c>
      <c r="K47" s="31">
        <f t="shared" si="0"/>
        <v>320</v>
      </c>
      <c r="L47" s="32" t="s">
        <v>171</v>
      </c>
      <c r="M47" s="29" t="s">
        <v>177</v>
      </c>
      <c r="N47" s="24"/>
      <c r="O47" s="24"/>
    </row>
    <row r="48" ht="39" spans="1:15">
      <c r="A48" s="29"/>
      <c r="B48" s="35" t="s">
        <v>17</v>
      </c>
      <c r="C48" s="35" t="s">
        <v>178</v>
      </c>
      <c r="D48" s="34"/>
      <c r="E48" s="34"/>
      <c r="F48" s="32"/>
      <c r="G48" s="34"/>
      <c r="H48" s="29">
        <v>4</v>
      </c>
      <c r="I48" s="33">
        <v>0.13</v>
      </c>
      <c r="J48" s="30">
        <v>165</v>
      </c>
      <c r="K48" s="31">
        <f t="shared" si="0"/>
        <v>660</v>
      </c>
      <c r="L48" s="32" t="s">
        <v>171</v>
      </c>
      <c r="M48" s="31" t="s">
        <v>179</v>
      </c>
      <c r="N48" s="24"/>
      <c r="O48" s="24"/>
    </row>
    <row r="49" ht="39" spans="1:15">
      <c r="A49" s="29"/>
      <c r="B49" s="35" t="s">
        <v>180</v>
      </c>
      <c r="C49" s="35" t="s">
        <v>181</v>
      </c>
      <c r="D49" s="34"/>
      <c r="E49" s="34"/>
      <c r="F49" s="32"/>
      <c r="G49" s="34"/>
      <c r="H49" s="29">
        <v>4</v>
      </c>
      <c r="I49" s="33">
        <v>0.13</v>
      </c>
      <c r="J49" s="30">
        <v>60</v>
      </c>
      <c r="K49" s="31">
        <f t="shared" si="0"/>
        <v>240</v>
      </c>
      <c r="L49" s="32" t="s">
        <v>171</v>
      </c>
      <c r="M49" s="29" t="s">
        <v>182</v>
      </c>
      <c r="N49" s="24"/>
      <c r="O49" s="24"/>
    </row>
    <row r="50" ht="52" spans="1:15">
      <c r="A50" s="29">
        <v>9</v>
      </c>
      <c r="B50" s="29" t="s">
        <v>197</v>
      </c>
      <c r="C50" s="29" t="s">
        <v>198</v>
      </c>
      <c r="D50" s="31">
        <v>36</v>
      </c>
      <c r="E50" s="31">
        <v>17</v>
      </c>
      <c r="F50" s="32"/>
      <c r="G50" s="31">
        <v>4</v>
      </c>
      <c r="H50" s="29">
        <v>6</v>
      </c>
      <c r="I50" s="33">
        <v>0.13</v>
      </c>
      <c r="J50" s="31">
        <v>1660</v>
      </c>
      <c r="K50" s="31">
        <f t="shared" si="0"/>
        <v>9960</v>
      </c>
      <c r="L50" s="32" t="s">
        <v>171</v>
      </c>
      <c r="M50" s="31" t="s">
        <v>172</v>
      </c>
      <c r="N50" s="24"/>
      <c r="O50" s="24"/>
    </row>
    <row r="51" ht="39" spans="1:15">
      <c r="A51" s="29"/>
      <c r="B51" s="29" t="s">
        <v>21</v>
      </c>
      <c r="C51" s="29" t="s">
        <v>199</v>
      </c>
      <c r="D51" s="29"/>
      <c r="E51" s="29"/>
      <c r="F51" s="32"/>
      <c r="G51" s="29"/>
      <c r="H51" s="29">
        <v>3</v>
      </c>
      <c r="I51" s="33">
        <v>0.13</v>
      </c>
      <c r="J51" s="31">
        <v>2560</v>
      </c>
      <c r="K51" s="31">
        <f t="shared" si="0"/>
        <v>7680</v>
      </c>
      <c r="L51" s="32" t="s">
        <v>171</v>
      </c>
      <c r="M51" s="31" t="s">
        <v>174</v>
      </c>
      <c r="N51" s="24"/>
      <c r="O51" s="24"/>
    </row>
    <row r="52" ht="39" spans="1:15">
      <c r="A52" s="29"/>
      <c r="B52" s="29" t="s">
        <v>15</v>
      </c>
      <c r="C52" s="29" t="s">
        <v>200</v>
      </c>
      <c r="D52" s="36"/>
      <c r="E52" s="36"/>
      <c r="F52" s="32"/>
      <c r="G52" s="36"/>
      <c r="H52" s="29">
        <v>6</v>
      </c>
      <c r="I52" s="33">
        <v>0.13</v>
      </c>
      <c r="J52" s="31">
        <v>410</v>
      </c>
      <c r="K52" s="31">
        <f t="shared" si="0"/>
        <v>2460</v>
      </c>
      <c r="L52" s="32" t="s">
        <v>171</v>
      </c>
      <c r="M52" s="31" t="s">
        <v>176</v>
      </c>
      <c r="N52" s="24"/>
      <c r="O52" s="24"/>
    </row>
    <row r="53" ht="39" spans="1:15">
      <c r="A53" s="29"/>
      <c r="B53" s="29" t="s">
        <v>166</v>
      </c>
      <c r="C53" s="34"/>
      <c r="D53" s="34"/>
      <c r="E53" s="34"/>
      <c r="F53" s="32"/>
      <c r="G53" s="34"/>
      <c r="H53" s="29">
        <v>6</v>
      </c>
      <c r="I53" s="33">
        <v>0.13</v>
      </c>
      <c r="J53" s="30">
        <v>80</v>
      </c>
      <c r="K53" s="31">
        <f t="shared" si="0"/>
        <v>480</v>
      </c>
      <c r="L53" s="32" t="s">
        <v>171</v>
      </c>
      <c r="M53" s="29" t="s">
        <v>177</v>
      </c>
      <c r="N53" s="24"/>
      <c r="O53" s="24"/>
    </row>
    <row r="54" ht="39" spans="1:15">
      <c r="A54" s="29"/>
      <c r="B54" s="35" t="s">
        <v>17</v>
      </c>
      <c r="C54" s="35" t="s">
        <v>178</v>
      </c>
      <c r="D54" s="34"/>
      <c r="E54" s="34"/>
      <c r="F54" s="32"/>
      <c r="G54" s="34"/>
      <c r="H54" s="29">
        <v>6</v>
      </c>
      <c r="I54" s="33">
        <v>0.13</v>
      </c>
      <c r="J54" s="30">
        <v>165</v>
      </c>
      <c r="K54" s="31">
        <f t="shared" si="0"/>
        <v>990</v>
      </c>
      <c r="L54" s="32" t="s">
        <v>171</v>
      </c>
      <c r="M54" s="31" t="s">
        <v>179</v>
      </c>
      <c r="N54" s="24"/>
      <c r="O54" s="24"/>
    </row>
    <row r="55" ht="39" spans="1:15">
      <c r="A55" s="29"/>
      <c r="B55" s="35" t="s">
        <v>180</v>
      </c>
      <c r="C55" s="35" t="s">
        <v>181</v>
      </c>
      <c r="D55" s="34"/>
      <c r="E55" s="34"/>
      <c r="F55" s="32"/>
      <c r="G55" s="34"/>
      <c r="H55" s="29">
        <v>6</v>
      </c>
      <c r="I55" s="33">
        <v>0.13</v>
      </c>
      <c r="J55" s="30">
        <v>60</v>
      </c>
      <c r="K55" s="31">
        <f t="shared" si="0"/>
        <v>360</v>
      </c>
      <c r="L55" s="32" t="s">
        <v>171</v>
      </c>
      <c r="M55" s="29" t="s">
        <v>182</v>
      </c>
      <c r="N55" s="24"/>
      <c r="O55" s="24"/>
    </row>
    <row r="56" ht="52" spans="1:15">
      <c r="A56" s="29">
        <v>10</v>
      </c>
      <c r="B56" s="29" t="s">
        <v>201</v>
      </c>
      <c r="C56" s="29" t="s">
        <v>202</v>
      </c>
      <c r="D56" s="31">
        <v>55</v>
      </c>
      <c r="E56" s="31">
        <v>15</v>
      </c>
      <c r="F56" s="32"/>
      <c r="G56" s="31">
        <v>5.5</v>
      </c>
      <c r="H56" s="29">
        <v>4</v>
      </c>
      <c r="I56" s="33">
        <v>0.13</v>
      </c>
      <c r="J56" s="31">
        <v>2650</v>
      </c>
      <c r="K56" s="31">
        <f t="shared" si="0"/>
        <v>10600</v>
      </c>
      <c r="L56" s="32" t="s">
        <v>171</v>
      </c>
      <c r="M56" s="31" t="s">
        <v>172</v>
      </c>
      <c r="N56" s="24"/>
      <c r="O56" s="24"/>
    </row>
    <row r="57" ht="39" spans="1:15">
      <c r="A57" s="29"/>
      <c r="B57" s="29" t="s">
        <v>21</v>
      </c>
      <c r="C57" s="29" t="s">
        <v>203</v>
      </c>
      <c r="D57" s="29"/>
      <c r="E57" s="29"/>
      <c r="F57" s="32"/>
      <c r="G57" s="29"/>
      <c r="H57" s="37">
        <v>1</v>
      </c>
      <c r="I57" s="33">
        <v>0.13</v>
      </c>
      <c r="J57" s="31">
        <v>4800</v>
      </c>
      <c r="K57" s="31">
        <f t="shared" si="0"/>
        <v>4800</v>
      </c>
      <c r="L57" s="32" t="s">
        <v>171</v>
      </c>
      <c r="M57" s="31" t="s">
        <v>174</v>
      </c>
      <c r="N57" s="24"/>
      <c r="O57" s="24"/>
    </row>
    <row r="58" ht="39" spans="1:15">
      <c r="A58" s="29"/>
      <c r="B58" s="29" t="s">
        <v>15</v>
      </c>
      <c r="C58" s="29" t="s">
        <v>189</v>
      </c>
      <c r="D58" s="36"/>
      <c r="E58" s="36"/>
      <c r="F58" s="32"/>
      <c r="G58" s="36"/>
      <c r="H58" s="29">
        <v>4</v>
      </c>
      <c r="I58" s="33">
        <v>0.13</v>
      </c>
      <c r="J58" s="31">
        <v>590</v>
      </c>
      <c r="K58" s="31">
        <f t="shared" si="0"/>
        <v>2360</v>
      </c>
      <c r="L58" s="32" t="s">
        <v>171</v>
      </c>
      <c r="M58" s="31" t="s">
        <v>176</v>
      </c>
      <c r="N58" s="24"/>
      <c r="O58" s="24"/>
    </row>
    <row r="59" ht="39" spans="1:15">
      <c r="A59" s="29"/>
      <c r="B59" s="29" t="s">
        <v>166</v>
      </c>
      <c r="C59" s="34"/>
      <c r="D59" s="34"/>
      <c r="E59" s="34"/>
      <c r="F59" s="32"/>
      <c r="G59" s="34"/>
      <c r="H59" s="29">
        <v>4</v>
      </c>
      <c r="I59" s="33">
        <v>0.13</v>
      </c>
      <c r="J59" s="30">
        <v>80</v>
      </c>
      <c r="K59" s="31">
        <f t="shared" si="0"/>
        <v>320</v>
      </c>
      <c r="L59" s="32" t="s">
        <v>171</v>
      </c>
      <c r="M59" s="29" t="s">
        <v>177</v>
      </c>
      <c r="N59" s="24"/>
      <c r="O59" s="24"/>
    </row>
    <row r="60" ht="39" spans="1:15">
      <c r="A60" s="29"/>
      <c r="B60" s="35" t="s">
        <v>17</v>
      </c>
      <c r="C60" s="35" t="s">
        <v>178</v>
      </c>
      <c r="D60" s="34"/>
      <c r="E60" s="34"/>
      <c r="F60" s="32"/>
      <c r="G60" s="34"/>
      <c r="H60" s="29">
        <v>4</v>
      </c>
      <c r="I60" s="33">
        <v>0.13</v>
      </c>
      <c r="J60" s="30">
        <v>165</v>
      </c>
      <c r="K60" s="31">
        <f t="shared" si="0"/>
        <v>660</v>
      </c>
      <c r="L60" s="32" t="s">
        <v>171</v>
      </c>
      <c r="M60" s="31" t="s">
        <v>179</v>
      </c>
      <c r="N60" s="24"/>
      <c r="O60" s="24"/>
    </row>
    <row r="61" ht="39" spans="1:15">
      <c r="A61" s="29"/>
      <c r="B61" s="35" t="s">
        <v>180</v>
      </c>
      <c r="C61" s="35" t="s">
        <v>181</v>
      </c>
      <c r="D61" s="34"/>
      <c r="E61" s="34"/>
      <c r="F61" s="32"/>
      <c r="G61" s="34"/>
      <c r="H61" s="29">
        <v>4</v>
      </c>
      <c r="I61" s="33">
        <v>0.13</v>
      </c>
      <c r="J61" s="30">
        <v>60</v>
      </c>
      <c r="K61" s="31">
        <f t="shared" si="0"/>
        <v>240</v>
      </c>
      <c r="L61" s="32" t="s">
        <v>171</v>
      </c>
      <c r="M61" s="29" t="s">
        <v>182</v>
      </c>
      <c r="N61" s="24"/>
      <c r="O61" s="24"/>
    </row>
    <row r="62" ht="52" spans="1:15">
      <c r="A62" s="29">
        <v>11</v>
      </c>
      <c r="B62" s="29" t="s">
        <v>204</v>
      </c>
      <c r="C62" s="29" t="s">
        <v>187</v>
      </c>
      <c r="D62" s="31">
        <v>50</v>
      </c>
      <c r="E62" s="31">
        <v>15</v>
      </c>
      <c r="F62" s="32"/>
      <c r="G62" s="31">
        <v>4</v>
      </c>
      <c r="H62" s="29">
        <v>4</v>
      </c>
      <c r="I62" s="33">
        <v>0.13</v>
      </c>
      <c r="J62" s="31">
        <v>2030</v>
      </c>
      <c r="K62" s="31">
        <f t="shared" si="0"/>
        <v>8120</v>
      </c>
      <c r="L62" s="32" t="s">
        <v>171</v>
      </c>
      <c r="M62" s="31" t="s">
        <v>172</v>
      </c>
      <c r="N62" s="24"/>
      <c r="O62" s="24"/>
    </row>
    <row r="63" ht="39" spans="1:15">
      <c r="A63" s="29"/>
      <c r="B63" s="29" t="s">
        <v>21</v>
      </c>
      <c r="C63" s="29" t="s">
        <v>199</v>
      </c>
      <c r="D63" s="29"/>
      <c r="E63" s="29"/>
      <c r="F63" s="32"/>
      <c r="G63" s="29"/>
      <c r="H63" s="29">
        <v>2</v>
      </c>
      <c r="I63" s="33">
        <v>0.13</v>
      </c>
      <c r="J63" s="31">
        <v>2560</v>
      </c>
      <c r="K63" s="31">
        <f t="shared" si="0"/>
        <v>5120</v>
      </c>
      <c r="L63" s="32" t="s">
        <v>171</v>
      </c>
      <c r="M63" s="31" t="s">
        <v>174</v>
      </c>
      <c r="N63" s="24"/>
      <c r="O63" s="24"/>
    </row>
    <row r="64" ht="39" spans="1:15">
      <c r="A64" s="29"/>
      <c r="B64" s="29" t="s">
        <v>15</v>
      </c>
      <c r="C64" s="29" t="s">
        <v>189</v>
      </c>
      <c r="D64" s="36"/>
      <c r="E64" s="36"/>
      <c r="F64" s="32"/>
      <c r="G64" s="36"/>
      <c r="H64" s="29">
        <v>4</v>
      </c>
      <c r="I64" s="33">
        <v>0.13</v>
      </c>
      <c r="J64" s="31">
        <v>590</v>
      </c>
      <c r="K64" s="31">
        <f t="shared" si="0"/>
        <v>2360</v>
      </c>
      <c r="L64" s="32" t="s">
        <v>171</v>
      </c>
      <c r="M64" s="31" t="s">
        <v>176</v>
      </c>
      <c r="N64" s="24"/>
      <c r="O64" s="24"/>
    </row>
    <row r="65" ht="39" spans="1:15">
      <c r="A65" s="29"/>
      <c r="B65" s="29" t="s">
        <v>166</v>
      </c>
      <c r="C65" s="34"/>
      <c r="D65" s="34"/>
      <c r="E65" s="34"/>
      <c r="F65" s="32"/>
      <c r="G65" s="34"/>
      <c r="H65" s="29">
        <v>4</v>
      </c>
      <c r="I65" s="33">
        <v>0.13</v>
      </c>
      <c r="J65" s="30">
        <v>80</v>
      </c>
      <c r="K65" s="31">
        <f t="shared" si="0"/>
        <v>320</v>
      </c>
      <c r="L65" s="32" t="s">
        <v>171</v>
      </c>
      <c r="M65" s="29" t="s">
        <v>177</v>
      </c>
      <c r="N65" s="24"/>
      <c r="O65" s="24"/>
    </row>
    <row r="66" ht="39" spans="1:15">
      <c r="A66" s="29"/>
      <c r="B66" s="35" t="s">
        <v>17</v>
      </c>
      <c r="C66" s="35" t="s">
        <v>178</v>
      </c>
      <c r="D66" s="34"/>
      <c r="E66" s="34"/>
      <c r="F66" s="32"/>
      <c r="G66" s="34"/>
      <c r="H66" s="29">
        <v>4</v>
      </c>
      <c r="I66" s="33">
        <v>0.13</v>
      </c>
      <c r="J66" s="30">
        <v>165</v>
      </c>
      <c r="K66" s="31">
        <f t="shared" ref="K66:K97" si="1">J66*H66</f>
        <v>660</v>
      </c>
      <c r="L66" s="32" t="s">
        <v>171</v>
      </c>
      <c r="M66" s="31" t="s">
        <v>179</v>
      </c>
      <c r="N66" s="24"/>
      <c r="O66" s="24"/>
    </row>
    <row r="67" ht="39" spans="1:15">
      <c r="A67" s="29"/>
      <c r="B67" s="35" t="s">
        <v>180</v>
      </c>
      <c r="C67" s="35" t="s">
        <v>181</v>
      </c>
      <c r="D67" s="34"/>
      <c r="E67" s="34"/>
      <c r="F67" s="32"/>
      <c r="G67" s="34"/>
      <c r="H67" s="29">
        <v>4</v>
      </c>
      <c r="I67" s="33">
        <v>0.13</v>
      </c>
      <c r="J67" s="30">
        <v>60</v>
      </c>
      <c r="K67" s="31">
        <f t="shared" si="1"/>
        <v>240</v>
      </c>
      <c r="L67" s="32" t="s">
        <v>171</v>
      </c>
      <c r="M67" s="29" t="s">
        <v>182</v>
      </c>
      <c r="N67" s="24"/>
      <c r="O67" s="24"/>
    </row>
    <row r="68" ht="52" spans="1:15">
      <c r="A68" s="29">
        <v>12</v>
      </c>
      <c r="B68" s="29" t="s">
        <v>205</v>
      </c>
      <c r="C68" s="29" t="s">
        <v>170</v>
      </c>
      <c r="D68" s="31">
        <v>20</v>
      </c>
      <c r="E68" s="31">
        <v>15</v>
      </c>
      <c r="F68" s="32"/>
      <c r="G68" s="31">
        <v>1.5</v>
      </c>
      <c r="H68" s="29">
        <v>4</v>
      </c>
      <c r="I68" s="33">
        <v>0.13</v>
      </c>
      <c r="J68" s="31">
        <v>1220</v>
      </c>
      <c r="K68" s="31">
        <f t="shared" si="1"/>
        <v>4880</v>
      </c>
      <c r="L68" s="32" t="s">
        <v>171</v>
      </c>
      <c r="M68" s="31" t="s">
        <v>172</v>
      </c>
      <c r="N68" s="24"/>
      <c r="O68" s="24"/>
    </row>
    <row r="69" ht="39" spans="1:15">
      <c r="A69" s="29"/>
      <c r="B69" s="29" t="s">
        <v>21</v>
      </c>
      <c r="C69" s="29" t="s">
        <v>183</v>
      </c>
      <c r="D69" s="29"/>
      <c r="E69" s="29"/>
      <c r="F69" s="32"/>
      <c r="G69" s="29"/>
      <c r="H69" s="29">
        <v>2</v>
      </c>
      <c r="I69" s="33">
        <v>0.13</v>
      </c>
      <c r="J69" s="31">
        <v>1405</v>
      </c>
      <c r="K69" s="31">
        <f t="shared" si="1"/>
        <v>2810</v>
      </c>
      <c r="L69" s="32" t="s">
        <v>171</v>
      </c>
      <c r="M69" s="31" t="s">
        <v>184</v>
      </c>
      <c r="N69" s="24"/>
      <c r="O69" s="24"/>
    </row>
    <row r="70" ht="39" spans="1:15">
      <c r="A70" s="29"/>
      <c r="B70" s="29" t="s">
        <v>15</v>
      </c>
      <c r="C70" s="29" t="s">
        <v>175</v>
      </c>
      <c r="D70" s="36"/>
      <c r="E70" s="36"/>
      <c r="F70" s="32"/>
      <c r="G70" s="36"/>
      <c r="H70" s="29">
        <v>4</v>
      </c>
      <c r="I70" s="33">
        <v>0.13</v>
      </c>
      <c r="J70" s="31">
        <v>340</v>
      </c>
      <c r="K70" s="31">
        <f t="shared" si="1"/>
        <v>1360</v>
      </c>
      <c r="L70" s="32" t="s">
        <v>171</v>
      </c>
      <c r="M70" s="31" t="s">
        <v>176</v>
      </c>
      <c r="N70" s="24"/>
      <c r="O70" s="24"/>
    </row>
    <row r="71" ht="39" spans="1:15">
      <c r="A71" s="29"/>
      <c r="B71" s="29" t="s">
        <v>166</v>
      </c>
      <c r="C71" s="34"/>
      <c r="D71" s="34"/>
      <c r="E71" s="34"/>
      <c r="F71" s="32"/>
      <c r="G71" s="34"/>
      <c r="H71" s="29">
        <v>4</v>
      </c>
      <c r="I71" s="33">
        <v>0.13</v>
      </c>
      <c r="J71" s="30">
        <v>80</v>
      </c>
      <c r="K71" s="31">
        <f t="shared" si="1"/>
        <v>320</v>
      </c>
      <c r="L71" s="32" t="s">
        <v>171</v>
      </c>
      <c r="M71" s="29" t="s">
        <v>177</v>
      </c>
      <c r="N71" s="24"/>
      <c r="O71" s="24"/>
    </row>
    <row r="72" ht="39" spans="1:15">
      <c r="A72" s="29"/>
      <c r="B72" s="35" t="s">
        <v>17</v>
      </c>
      <c r="C72" s="35" t="s">
        <v>178</v>
      </c>
      <c r="D72" s="34"/>
      <c r="E72" s="34"/>
      <c r="F72" s="32"/>
      <c r="G72" s="34"/>
      <c r="H72" s="29">
        <v>4</v>
      </c>
      <c r="I72" s="33">
        <v>0.13</v>
      </c>
      <c r="J72" s="30">
        <v>165</v>
      </c>
      <c r="K72" s="31">
        <f t="shared" si="1"/>
        <v>660</v>
      </c>
      <c r="L72" s="32" t="s">
        <v>171</v>
      </c>
      <c r="M72" s="31" t="s">
        <v>179</v>
      </c>
      <c r="N72" s="24"/>
      <c r="O72" s="24"/>
    </row>
    <row r="73" ht="39" spans="1:15">
      <c r="A73" s="29"/>
      <c r="B73" s="35" t="s">
        <v>180</v>
      </c>
      <c r="C73" s="35" t="s">
        <v>181</v>
      </c>
      <c r="D73" s="34"/>
      <c r="E73" s="34"/>
      <c r="F73" s="32"/>
      <c r="G73" s="34"/>
      <c r="H73" s="29">
        <v>4</v>
      </c>
      <c r="I73" s="33">
        <v>0.13</v>
      </c>
      <c r="J73" s="30">
        <v>60</v>
      </c>
      <c r="K73" s="31">
        <f t="shared" si="1"/>
        <v>240</v>
      </c>
      <c r="L73" s="32" t="s">
        <v>171</v>
      </c>
      <c r="M73" s="29" t="s">
        <v>182</v>
      </c>
      <c r="N73" s="24"/>
      <c r="O73" s="24"/>
    </row>
    <row r="74" ht="39" spans="1:15">
      <c r="A74" s="29">
        <v>13</v>
      </c>
      <c r="B74" s="29" t="s">
        <v>206</v>
      </c>
      <c r="C74" s="29" t="s">
        <v>207</v>
      </c>
      <c r="D74" s="31">
        <v>15</v>
      </c>
      <c r="E74" s="31">
        <v>17</v>
      </c>
      <c r="F74" s="32"/>
      <c r="G74" s="31">
        <v>2.2</v>
      </c>
      <c r="H74" s="29">
        <v>10</v>
      </c>
      <c r="I74" s="33">
        <v>0.13</v>
      </c>
      <c r="J74" s="31">
        <v>1340</v>
      </c>
      <c r="K74" s="31">
        <f t="shared" si="1"/>
        <v>13400</v>
      </c>
      <c r="L74" s="32" t="s">
        <v>171</v>
      </c>
      <c r="M74" s="31" t="s">
        <v>172</v>
      </c>
      <c r="N74" s="24"/>
      <c r="O74" s="24"/>
    </row>
    <row r="75" ht="39" spans="1:15">
      <c r="A75" s="29"/>
      <c r="B75" s="29" t="s">
        <v>21</v>
      </c>
      <c r="C75" s="29" t="s">
        <v>208</v>
      </c>
      <c r="D75" s="29"/>
      <c r="E75" s="29"/>
      <c r="F75" s="32"/>
      <c r="G75" s="29"/>
      <c r="H75" s="29">
        <v>5</v>
      </c>
      <c r="I75" s="33">
        <v>0.13</v>
      </c>
      <c r="J75" s="31">
        <v>1405</v>
      </c>
      <c r="K75" s="31">
        <f t="shared" si="1"/>
        <v>7025</v>
      </c>
      <c r="L75" s="32" t="s">
        <v>171</v>
      </c>
      <c r="M75" s="31" t="s">
        <v>184</v>
      </c>
      <c r="N75" s="24"/>
      <c r="O75" s="24"/>
    </row>
    <row r="76" ht="39" spans="1:15">
      <c r="A76" s="29"/>
      <c r="B76" s="29" t="s">
        <v>15</v>
      </c>
      <c r="C76" s="29" t="s">
        <v>175</v>
      </c>
      <c r="D76" s="36"/>
      <c r="E76" s="36"/>
      <c r="F76" s="32"/>
      <c r="G76" s="36"/>
      <c r="H76" s="29">
        <v>10</v>
      </c>
      <c r="I76" s="33">
        <v>0.13</v>
      </c>
      <c r="J76" s="31">
        <v>340</v>
      </c>
      <c r="K76" s="31">
        <f t="shared" si="1"/>
        <v>3400</v>
      </c>
      <c r="L76" s="32" t="s">
        <v>171</v>
      </c>
      <c r="M76" s="31" t="s">
        <v>176</v>
      </c>
      <c r="N76" s="24"/>
      <c r="O76" s="24"/>
    </row>
    <row r="77" ht="39" spans="1:15">
      <c r="A77" s="29"/>
      <c r="B77" s="29" t="s">
        <v>166</v>
      </c>
      <c r="C77" s="34"/>
      <c r="D77" s="34"/>
      <c r="E77" s="34"/>
      <c r="F77" s="32"/>
      <c r="G77" s="34"/>
      <c r="H77" s="29">
        <v>4</v>
      </c>
      <c r="I77" s="33">
        <v>0.13</v>
      </c>
      <c r="J77" s="30">
        <v>80</v>
      </c>
      <c r="K77" s="31">
        <f t="shared" si="1"/>
        <v>320</v>
      </c>
      <c r="L77" s="32" t="s">
        <v>171</v>
      </c>
      <c r="M77" s="29" t="s">
        <v>177</v>
      </c>
      <c r="N77" s="24"/>
      <c r="O77" s="24"/>
    </row>
    <row r="78" ht="39" spans="1:15">
      <c r="A78" s="29"/>
      <c r="B78" s="35" t="s">
        <v>17</v>
      </c>
      <c r="C78" s="35" t="s">
        <v>178</v>
      </c>
      <c r="D78" s="34"/>
      <c r="E78" s="34"/>
      <c r="F78" s="32"/>
      <c r="G78" s="34"/>
      <c r="H78" s="29">
        <v>4</v>
      </c>
      <c r="I78" s="33">
        <v>0.13</v>
      </c>
      <c r="J78" s="30">
        <v>165</v>
      </c>
      <c r="K78" s="31">
        <f t="shared" si="1"/>
        <v>660</v>
      </c>
      <c r="L78" s="32" t="s">
        <v>171</v>
      </c>
      <c r="M78" s="31" t="s">
        <v>179</v>
      </c>
      <c r="N78" s="24"/>
      <c r="O78" s="24"/>
    </row>
    <row r="79" ht="39" spans="1:15">
      <c r="A79" s="29"/>
      <c r="B79" s="35" t="s">
        <v>180</v>
      </c>
      <c r="C79" s="35" t="s">
        <v>181</v>
      </c>
      <c r="D79" s="34"/>
      <c r="E79" s="34"/>
      <c r="F79" s="32"/>
      <c r="G79" s="34"/>
      <c r="H79" s="29">
        <v>4</v>
      </c>
      <c r="I79" s="33">
        <v>0.13</v>
      </c>
      <c r="J79" s="30">
        <v>60</v>
      </c>
      <c r="K79" s="31">
        <f t="shared" si="1"/>
        <v>240</v>
      </c>
      <c r="L79" s="32" t="s">
        <v>171</v>
      </c>
      <c r="M79" s="29" t="s">
        <v>182</v>
      </c>
      <c r="N79" s="24"/>
      <c r="O79" s="24"/>
    </row>
    <row r="80" ht="52" spans="1:15">
      <c r="A80" s="29">
        <v>14</v>
      </c>
      <c r="B80" s="29" t="s">
        <v>209</v>
      </c>
      <c r="C80" s="29" t="s">
        <v>210</v>
      </c>
      <c r="D80" s="31">
        <v>30</v>
      </c>
      <c r="E80" s="31">
        <v>10</v>
      </c>
      <c r="F80" s="32"/>
      <c r="G80" s="31">
        <v>1.5</v>
      </c>
      <c r="H80" s="29">
        <v>4</v>
      </c>
      <c r="I80" s="33">
        <v>0.13</v>
      </c>
      <c r="J80" s="31">
        <v>1545</v>
      </c>
      <c r="K80" s="31">
        <f t="shared" si="1"/>
        <v>6180</v>
      </c>
      <c r="L80" s="32" t="s">
        <v>171</v>
      </c>
      <c r="M80" s="31" t="s">
        <v>172</v>
      </c>
      <c r="N80" s="24"/>
      <c r="O80" s="24"/>
    </row>
    <row r="81" ht="39" spans="1:15">
      <c r="A81" s="29"/>
      <c r="B81" s="29" t="s">
        <v>21</v>
      </c>
      <c r="C81" s="29" t="s">
        <v>183</v>
      </c>
      <c r="D81" s="29"/>
      <c r="E81" s="29"/>
      <c r="F81" s="32"/>
      <c r="G81" s="29"/>
      <c r="H81" s="29">
        <v>2</v>
      </c>
      <c r="I81" s="33">
        <v>0.13</v>
      </c>
      <c r="J81" s="31">
        <v>3500</v>
      </c>
      <c r="K81" s="31">
        <f t="shared" si="1"/>
        <v>7000</v>
      </c>
      <c r="L81" s="32" t="s">
        <v>171</v>
      </c>
      <c r="M81" s="29" t="s">
        <v>211</v>
      </c>
      <c r="N81" s="24"/>
      <c r="O81" s="24"/>
    </row>
    <row r="82" ht="39" spans="1:15">
      <c r="A82" s="29"/>
      <c r="B82" s="29" t="s">
        <v>15</v>
      </c>
      <c r="C82" s="29" t="s">
        <v>200</v>
      </c>
      <c r="D82" s="36"/>
      <c r="E82" s="36"/>
      <c r="F82" s="32"/>
      <c r="G82" s="36"/>
      <c r="H82" s="29">
        <v>4</v>
      </c>
      <c r="I82" s="33">
        <v>0.13</v>
      </c>
      <c r="J82" s="31">
        <v>410</v>
      </c>
      <c r="K82" s="31">
        <f t="shared" si="1"/>
        <v>1640</v>
      </c>
      <c r="L82" s="32" t="s">
        <v>171</v>
      </c>
      <c r="M82" s="31" t="s">
        <v>176</v>
      </c>
      <c r="N82" s="24"/>
      <c r="O82" s="24"/>
    </row>
    <row r="83" ht="39" spans="1:15">
      <c r="A83" s="29"/>
      <c r="B83" s="29" t="s">
        <v>166</v>
      </c>
      <c r="C83" s="34"/>
      <c r="D83" s="34"/>
      <c r="E83" s="34"/>
      <c r="F83" s="32"/>
      <c r="G83" s="34"/>
      <c r="H83" s="29">
        <v>4</v>
      </c>
      <c r="I83" s="33">
        <v>0.13</v>
      </c>
      <c r="J83" s="30">
        <v>80</v>
      </c>
      <c r="K83" s="31">
        <f t="shared" si="1"/>
        <v>320</v>
      </c>
      <c r="L83" s="32" t="s">
        <v>171</v>
      </c>
      <c r="M83" s="29" t="s">
        <v>177</v>
      </c>
      <c r="N83" s="24"/>
      <c r="O83" s="24"/>
    </row>
    <row r="84" ht="39" spans="1:15">
      <c r="A84" s="29"/>
      <c r="B84" s="35" t="s">
        <v>17</v>
      </c>
      <c r="C84" s="35" t="s">
        <v>178</v>
      </c>
      <c r="D84" s="34"/>
      <c r="E84" s="34"/>
      <c r="F84" s="32"/>
      <c r="G84" s="34"/>
      <c r="H84" s="29">
        <v>4</v>
      </c>
      <c r="I84" s="33">
        <v>0.13</v>
      </c>
      <c r="J84" s="30">
        <v>165</v>
      </c>
      <c r="K84" s="31">
        <f t="shared" si="1"/>
        <v>660</v>
      </c>
      <c r="L84" s="32" t="s">
        <v>171</v>
      </c>
      <c r="M84" s="31" t="s">
        <v>179</v>
      </c>
      <c r="N84" s="24"/>
      <c r="O84" s="24"/>
    </row>
    <row r="85" ht="39" spans="1:15">
      <c r="A85" s="29"/>
      <c r="B85" s="35" t="s">
        <v>180</v>
      </c>
      <c r="C85" s="35" t="s">
        <v>181</v>
      </c>
      <c r="D85" s="34"/>
      <c r="E85" s="34"/>
      <c r="F85" s="32"/>
      <c r="G85" s="34"/>
      <c r="H85" s="29">
        <v>4</v>
      </c>
      <c r="I85" s="33">
        <v>0.13</v>
      </c>
      <c r="J85" s="30">
        <v>60</v>
      </c>
      <c r="K85" s="31">
        <f t="shared" si="1"/>
        <v>240</v>
      </c>
      <c r="L85" s="32" t="s">
        <v>171</v>
      </c>
      <c r="M85" s="29" t="s">
        <v>182</v>
      </c>
      <c r="N85" s="24"/>
      <c r="O85" s="24"/>
    </row>
    <row r="86" ht="52" spans="1:15">
      <c r="A86" s="30">
        <v>15</v>
      </c>
      <c r="B86" s="29" t="s">
        <v>212</v>
      </c>
      <c r="C86" s="29" t="s">
        <v>170</v>
      </c>
      <c r="D86" s="31">
        <v>10</v>
      </c>
      <c r="E86" s="31">
        <v>15</v>
      </c>
      <c r="F86" s="32"/>
      <c r="G86" s="31">
        <v>1.5</v>
      </c>
      <c r="H86" s="29">
        <v>4</v>
      </c>
      <c r="I86" s="33">
        <v>0.13</v>
      </c>
      <c r="J86" s="31">
        <v>1340</v>
      </c>
      <c r="K86" s="31">
        <f t="shared" si="1"/>
        <v>5360</v>
      </c>
      <c r="L86" s="32" t="s">
        <v>171</v>
      </c>
      <c r="M86" s="31" t="s">
        <v>172</v>
      </c>
      <c r="N86" s="24"/>
      <c r="O86" s="24"/>
    </row>
    <row r="87" ht="39" spans="1:15">
      <c r="A87" s="30"/>
      <c r="B87" s="29" t="s">
        <v>21</v>
      </c>
      <c r="C87" s="29" t="s">
        <v>213</v>
      </c>
      <c r="D87" s="29"/>
      <c r="E87" s="29"/>
      <c r="F87" s="32"/>
      <c r="G87" s="29"/>
      <c r="H87" s="29">
        <v>2</v>
      </c>
      <c r="I87" s="33">
        <v>0.13</v>
      </c>
      <c r="J87" s="31">
        <v>1405</v>
      </c>
      <c r="K87" s="31">
        <f t="shared" si="1"/>
        <v>2810</v>
      </c>
      <c r="L87" s="32" t="s">
        <v>171</v>
      </c>
      <c r="M87" s="31" t="s">
        <v>184</v>
      </c>
      <c r="N87" s="24"/>
      <c r="O87" s="24"/>
    </row>
    <row r="88" ht="39" spans="1:15">
      <c r="A88" s="30"/>
      <c r="B88" s="29" t="s">
        <v>15</v>
      </c>
      <c r="C88" s="29" t="s">
        <v>175</v>
      </c>
      <c r="D88" s="36"/>
      <c r="E88" s="36"/>
      <c r="F88" s="32"/>
      <c r="G88" s="36"/>
      <c r="H88" s="29">
        <v>4</v>
      </c>
      <c r="I88" s="33">
        <v>0.13</v>
      </c>
      <c r="J88" s="31">
        <v>340</v>
      </c>
      <c r="K88" s="31">
        <f t="shared" si="1"/>
        <v>1360</v>
      </c>
      <c r="L88" s="32" t="s">
        <v>171</v>
      </c>
      <c r="M88" s="31" t="s">
        <v>176</v>
      </c>
      <c r="N88" s="24"/>
      <c r="O88" s="24"/>
    </row>
    <row r="89" ht="39" spans="1:15">
      <c r="A89" s="30"/>
      <c r="B89" s="29" t="s">
        <v>166</v>
      </c>
      <c r="C89" s="34"/>
      <c r="D89" s="34"/>
      <c r="E89" s="34"/>
      <c r="F89" s="32"/>
      <c r="G89" s="34"/>
      <c r="H89" s="29">
        <v>4</v>
      </c>
      <c r="I89" s="33">
        <v>0.13</v>
      </c>
      <c r="J89" s="30">
        <v>80</v>
      </c>
      <c r="K89" s="31">
        <f t="shared" si="1"/>
        <v>320</v>
      </c>
      <c r="L89" s="32" t="s">
        <v>171</v>
      </c>
      <c r="M89" s="29" t="s">
        <v>177</v>
      </c>
      <c r="N89" s="24"/>
      <c r="O89" s="24"/>
    </row>
    <row r="90" ht="39" spans="1:15">
      <c r="A90" s="30"/>
      <c r="B90" s="35" t="s">
        <v>17</v>
      </c>
      <c r="C90" s="35" t="s">
        <v>178</v>
      </c>
      <c r="D90" s="34"/>
      <c r="E90" s="34"/>
      <c r="F90" s="32"/>
      <c r="G90" s="34"/>
      <c r="H90" s="29">
        <v>4</v>
      </c>
      <c r="I90" s="33">
        <v>0.13</v>
      </c>
      <c r="J90" s="30">
        <v>165</v>
      </c>
      <c r="K90" s="31">
        <f t="shared" si="1"/>
        <v>660</v>
      </c>
      <c r="L90" s="32" t="s">
        <v>171</v>
      </c>
      <c r="M90" s="31" t="s">
        <v>179</v>
      </c>
      <c r="N90" s="24"/>
      <c r="O90" s="24"/>
    </row>
    <row r="91" ht="39" spans="1:15">
      <c r="A91" s="30"/>
      <c r="B91" s="35" t="s">
        <v>180</v>
      </c>
      <c r="C91" s="35" t="s">
        <v>181</v>
      </c>
      <c r="D91" s="34"/>
      <c r="E91" s="34"/>
      <c r="F91" s="32"/>
      <c r="G91" s="34"/>
      <c r="H91" s="29">
        <v>4</v>
      </c>
      <c r="I91" s="33">
        <v>0.13</v>
      </c>
      <c r="J91" s="30">
        <v>60</v>
      </c>
      <c r="K91" s="31">
        <f t="shared" si="1"/>
        <v>240</v>
      </c>
      <c r="L91" s="32" t="s">
        <v>171</v>
      </c>
      <c r="M91" s="29" t="s">
        <v>182</v>
      </c>
      <c r="N91" s="24"/>
      <c r="O91" s="24"/>
    </row>
    <row r="92" ht="39" spans="1:15">
      <c r="A92" s="29">
        <v>16</v>
      </c>
      <c r="B92" s="30" t="s">
        <v>214</v>
      </c>
      <c r="C92" s="29" t="s">
        <v>170</v>
      </c>
      <c r="D92" s="31">
        <v>20</v>
      </c>
      <c r="E92" s="31">
        <v>15</v>
      </c>
      <c r="F92" s="32"/>
      <c r="G92" s="31">
        <v>1.5</v>
      </c>
      <c r="H92" s="29">
        <v>2</v>
      </c>
      <c r="I92" s="33">
        <v>0.13</v>
      </c>
      <c r="J92" s="31">
        <v>1220</v>
      </c>
      <c r="K92" s="31">
        <f t="shared" si="1"/>
        <v>2440</v>
      </c>
      <c r="L92" s="32" t="s">
        <v>171</v>
      </c>
      <c r="M92" s="31" t="s">
        <v>172</v>
      </c>
      <c r="N92" s="24"/>
      <c r="O92" s="24"/>
    </row>
    <row r="93" ht="39" spans="1:15">
      <c r="A93" s="29"/>
      <c r="B93" s="29" t="s">
        <v>21</v>
      </c>
      <c r="C93" s="29" t="s">
        <v>183</v>
      </c>
      <c r="D93" s="29"/>
      <c r="E93" s="29"/>
      <c r="F93" s="32"/>
      <c r="G93" s="29"/>
      <c r="H93" s="29">
        <v>1</v>
      </c>
      <c r="I93" s="33">
        <v>0.13</v>
      </c>
      <c r="J93" s="31">
        <v>1405</v>
      </c>
      <c r="K93" s="31">
        <f t="shared" si="1"/>
        <v>1405</v>
      </c>
      <c r="L93" s="32" t="s">
        <v>171</v>
      </c>
      <c r="M93" s="31" t="s">
        <v>184</v>
      </c>
      <c r="N93" s="24"/>
      <c r="O93" s="24"/>
    </row>
    <row r="94" ht="39" spans="1:15">
      <c r="A94" s="29"/>
      <c r="B94" s="29" t="s">
        <v>15</v>
      </c>
      <c r="C94" s="29" t="s">
        <v>175</v>
      </c>
      <c r="D94" s="36"/>
      <c r="E94" s="36"/>
      <c r="F94" s="32"/>
      <c r="G94" s="36"/>
      <c r="H94" s="29">
        <v>2</v>
      </c>
      <c r="I94" s="33">
        <v>0.13</v>
      </c>
      <c r="J94" s="31">
        <v>340</v>
      </c>
      <c r="K94" s="31">
        <f t="shared" si="1"/>
        <v>680</v>
      </c>
      <c r="L94" s="32" t="s">
        <v>171</v>
      </c>
      <c r="M94" s="31" t="s">
        <v>176</v>
      </c>
      <c r="N94" s="24"/>
      <c r="O94" s="24"/>
    </row>
    <row r="95" ht="39" spans="1:15">
      <c r="A95" s="30">
        <v>17</v>
      </c>
      <c r="B95" s="29" t="s">
        <v>166</v>
      </c>
      <c r="C95" s="34"/>
      <c r="D95" s="34"/>
      <c r="E95" s="34"/>
      <c r="F95" s="32"/>
      <c r="G95" s="34"/>
      <c r="H95" s="30">
        <v>2</v>
      </c>
      <c r="I95" s="33">
        <v>0.13</v>
      </c>
      <c r="J95" s="30">
        <v>80</v>
      </c>
      <c r="K95" s="31">
        <f t="shared" si="1"/>
        <v>160</v>
      </c>
      <c r="L95" s="32" t="s">
        <v>171</v>
      </c>
      <c r="M95" s="29" t="s">
        <v>177</v>
      </c>
      <c r="N95" s="24"/>
      <c r="O95" s="24"/>
    </row>
    <row r="96" ht="39" spans="1:15">
      <c r="A96" s="30">
        <v>18</v>
      </c>
      <c r="B96" s="35" t="s">
        <v>17</v>
      </c>
      <c r="C96" s="35" t="s">
        <v>178</v>
      </c>
      <c r="D96" s="34"/>
      <c r="E96" s="34"/>
      <c r="F96" s="32"/>
      <c r="G96" s="34"/>
      <c r="H96" s="30">
        <v>2</v>
      </c>
      <c r="I96" s="33">
        <v>0.13</v>
      </c>
      <c r="J96" s="30">
        <v>165</v>
      </c>
      <c r="K96" s="31">
        <f t="shared" si="1"/>
        <v>330</v>
      </c>
      <c r="L96" s="32" t="s">
        <v>171</v>
      </c>
      <c r="M96" s="31" t="s">
        <v>179</v>
      </c>
      <c r="N96" s="24"/>
      <c r="O96" s="24"/>
    </row>
    <row r="97" ht="39" spans="1:15">
      <c r="A97" s="30">
        <v>19</v>
      </c>
      <c r="B97" s="35" t="s">
        <v>180</v>
      </c>
      <c r="C97" s="35" t="s">
        <v>181</v>
      </c>
      <c r="D97" s="34"/>
      <c r="E97" s="34"/>
      <c r="F97" s="32"/>
      <c r="G97" s="34"/>
      <c r="H97" s="30">
        <v>2</v>
      </c>
      <c r="I97" s="33">
        <v>0.13</v>
      </c>
      <c r="J97" s="30">
        <v>60</v>
      </c>
      <c r="K97" s="31">
        <f t="shared" si="1"/>
        <v>120</v>
      </c>
      <c r="L97" s="32" t="s">
        <v>171</v>
      </c>
      <c r="M97" s="29" t="s">
        <v>182</v>
      </c>
      <c r="N97" s="24"/>
      <c r="O97" s="24"/>
    </row>
  </sheetData>
  <mergeCells count="16">
    <mergeCell ref="A2:A7"/>
    <mergeCell ref="A8:A13"/>
    <mergeCell ref="A14:A19"/>
    <mergeCell ref="A20:A25"/>
    <mergeCell ref="A26:A31"/>
    <mergeCell ref="A32:A37"/>
    <mergeCell ref="A38:A43"/>
    <mergeCell ref="A44:A49"/>
    <mergeCell ref="A50:A55"/>
    <mergeCell ref="A56:A61"/>
    <mergeCell ref="A62:A67"/>
    <mergeCell ref="A68:A73"/>
    <mergeCell ref="A74:A79"/>
    <mergeCell ref="A80:A85"/>
    <mergeCell ref="A86:A91"/>
    <mergeCell ref="A92:A9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zoomScale="70" zoomScaleNormal="70" workbookViewId="0">
      <selection activeCell="D7" sqref="D7"/>
    </sheetView>
  </sheetViews>
  <sheetFormatPr defaultColWidth="8.72727272727273" defaultRowHeight="14"/>
  <cols>
    <col min="13" max="13" width="77.9181818181818" customWidth="1"/>
    <col min="14" max="14" width="43.3727272727273" customWidth="1"/>
  </cols>
  <sheetData>
    <row r="1" ht="26" spans="1:14">
      <c r="A1" s="12" t="s">
        <v>1</v>
      </c>
      <c r="B1" s="13" t="s">
        <v>2</v>
      </c>
      <c r="C1" s="13" t="s">
        <v>3</v>
      </c>
      <c r="D1" s="12" t="s">
        <v>4</v>
      </c>
      <c r="E1" s="12" t="s">
        <v>5</v>
      </c>
      <c r="F1" s="13" t="s">
        <v>6</v>
      </c>
      <c r="G1" s="12" t="s">
        <v>7</v>
      </c>
      <c r="H1" s="13" t="s">
        <v>8</v>
      </c>
      <c r="I1" s="13" t="s">
        <v>9</v>
      </c>
      <c r="J1" s="14" t="s">
        <v>10</v>
      </c>
      <c r="K1" s="15" t="s">
        <v>11</v>
      </c>
      <c r="L1" s="15" t="s">
        <v>26</v>
      </c>
      <c r="M1" s="12" t="s">
        <v>103</v>
      </c>
      <c r="N1" s="16"/>
    </row>
    <row r="2" ht="29" spans="1:14">
      <c r="A2" s="17">
        <v>1</v>
      </c>
      <c r="B2" s="18" t="s">
        <v>215</v>
      </c>
      <c r="C2" s="17" t="s">
        <v>216</v>
      </c>
      <c r="D2" s="17">
        <v>40</v>
      </c>
      <c r="E2" s="17">
        <v>23</v>
      </c>
      <c r="F2" s="17"/>
      <c r="G2" s="17">
        <v>5.5</v>
      </c>
      <c r="H2" s="18">
        <f>36*2</f>
        <v>72</v>
      </c>
      <c r="I2" s="19">
        <v>0.13</v>
      </c>
      <c r="J2" s="17">
        <v>1934</v>
      </c>
      <c r="K2" s="17">
        <f t="shared" ref="K2:K8" si="0">J2*H2</f>
        <v>139248</v>
      </c>
      <c r="L2" s="17" t="s">
        <v>217</v>
      </c>
      <c r="M2" s="17" t="s">
        <v>218</v>
      </c>
      <c r="N2" s="20"/>
    </row>
    <row r="3" ht="14.5" spans="1:14">
      <c r="A3" s="17"/>
      <c r="B3" s="18" t="s">
        <v>219</v>
      </c>
      <c r="C3" s="17" t="s">
        <v>220</v>
      </c>
      <c r="D3" s="17"/>
      <c r="E3" s="17"/>
      <c r="F3" s="17"/>
      <c r="G3" s="17"/>
      <c r="H3" s="18"/>
      <c r="I3" s="19"/>
      <c r="J3" s="17"/>
      <c r="K3" s="17"/>
      <c r="L3" s="17" t="s">
        <v>217</v>
      </c>
      <c r="M3" s="17"/>
      <c r="N3" s="16"/>
    </row>
    <row r="4" ht="58" spans="1:14">
      <c r="A4" s="17"/>
      <c r="B4" s="18" t="s">
        <v>21</v>
      </c>
      <c r="C4" s="17" t="s">
        <v>221</v>
      </c>
      <c r="D4" s="17"/>
      <c r="E4" s="17"/>
      <c r="F4" s="17"/>
      <c r="G4" s="17"/>
      <c r="H4" s="17">
        <v>36</v>
      </c>
      <c r="I4" s="19"/>
      <c r="J4" s="17">
        <v>868</v>
      </c>
      <c r="K4" s="17">
        <f t="shared" si="0"/>
        <v>31248</v>
      </c>
      <c r="L4" s="17" t="s">
        <v>217</v>
      </c>
      <c r="M4" s="17" t="s">
        <v>222</v>
      </c>
      <c r="N4" s="16"/>
    </row>
    <row r="5" ht="29" spans="1:14">
      <c r="A5" s="17">
        <v>2</v>
      </c>
      <c r="B5" s="18" t="s">
        <v>215</v>
      </c>
      <c r="C5" s="17" t="s">
        <v>223</v>
      </c>
      <c r="D5" s="17">
        <v>25</v>
      </c>
      <c r="E5" s="17">
        <v>18</v>
      </c>
      <c r="F5" s="17"/>
      <c r="G5" s="17">
        <v>3</v>
      </c>
      <c r="H5" s="18">
        <f>2*2</f>
        <v>4</v>
      </c>
      <c r="I5" s="19">
        <v>0.13</v>
      </c>
      <c r="J5" s="17">
        <v>1301</v>
      </c>
      <c r="K5" s="17">
        <f t="shared" si="0"/>
        <v>5204</v>
      </c>
      <c r="L5" s="17" t="s">
        <v>217</v>
      </c>
      <c r="M5" s="17" t="s">
        <v>218</v>
      </c>
      <c r="N5" s="16"/>
    </row>
    <row r="6" ht="14.5" spans="1:14">
      <c r="A6" s="17"/>
      <c r="B6" s="18" t="s">
        <v>219</v>
      </c>
      <c r="C6" s="17" t="s">
        <v>224</v>
      </c>
      <c r="D6" s="17"/>
      <c r="E6" s="17"/>
      <c r="F6" s="17"/>
      <c r="G6" s="17"/>
      <c r="H6" s="18"/>
      <c r="I6" s="19"/>
      <c r="J6" s="17"/>
      <c r="K6" s="17"/>
      <c r="L6" s="17" t="s">
        <v>217</v>
      </c>
      <c r="M6" s="17"/>
      <c r="N6" s="16"/>
    </row>
    <row r="7" ht="58" spans="1:14">
      <c r="A7" s="17"/>
      <c r="B7" s="18" t="s">
        <v>21</v>
      </c>
      <c r="C7" s="17" t="s">
        <v>225</v>
      </c>
      <c r="D7" s="17"/>
      <c r="E7" s="17"/>
      <c r="F7" s="17"/>
      <c r="G7" s="17"/>
      <c r="H7" s="17">
        <v>2</v>
      </c>
      <c r="I7" s="19"/>
      <c r="J7" s="17">
        <v>868</v>
      </c>
      <c r="K7" s="17">
        <f t="shared" si="0"/>
        <v>1736</v>
      </c>
      <c r="L7" s="17" t="s">
        <v>217</v>
      </c>
      <c r="M7" s="17" t="s">
        <v>222</v>
      </c>
      <c r="N7" s="16"/>
    </row>
    <row r="8" ht="29" spans="1:14">
      <c r="A8" s="17">
        <v>3</v>
      </c>
      <c r="B8" s="18" t="s">
        <v>226</v>
      </c>
      <c r="C8" s="17" t="s">
        <v>227</v>
      </c>
      <c r="D8" s="17">
        <v>10</v>
      </c>
      <c r="E8" s="17">
        <v>25</v>
      </c>
      <c r="F8" s="17"/>
      <c r="G8" s="17">
        <v>3</v>
      </c>
      <c r="H8" s="18">
        <f>5*2</f>
        <v>10</v>
      </c>
      <c r="I8" s="19">
        <v>0.13</v>
      </c>
      <c r="J8" s="17">
        <v>1301</v>
      </c>
      <c r="K8" s="17">
        <f t="shared" si="0"/>
        <v>13010</v>
      </c>
      <c r="L8" s="17" t="s">
        <v>217</v>
      </c>
      <c r="M8" s="17" t="s">
        <v>228</v>
      </c>
      <c r="N8" s="16"/>
    </row>
    <row r="9" ht="14.5" spans="1:14">
      <c r="A9" s="17"/>
      <c r="B9" s="18" t="s">
        <v>219</v>
      </c>
      <c r="C9" s="17" t="s">
        <v>224</v>
      </c>
      <c r="D9" s="17"/>
      <c r="E9" s="17"/>
      <c r="F9" s="17"/>
      <c r="G9" s="17"/>
      <c r="H9" s="18"/>
      <c r="I9" s="19"/>
      <c r="J9" s="17"/>
      <c r="K9" s="17"/>
      <c r="L9" s="17" t="s">
        <v>217</v>
      </c>
      <c r="M9" s="17"/>
      <c r="N9" s="16"/>
    </row>
    <row r="10" ht="58" spans="1:14">
      <c r="A10" s="17"/>
      <c r="B10" s="18" t="s">
        <v>21</v>
      </c>
      <c r="C10" s="17" t="s">
        <v>229</v>
      </c>
      <c r="D10" s="17"/>
      <c r="E10" s="17"/>
      <c r="F10" s="17"/>
      <c r="G10" s="17"/>
      <c r="H10" s="18">
        <v>5</v>
      </c>
      <c r="I10" s="19"/>
      <c r="J10" s="17">
        <v>868</v>
      </c>
      <c r="K10" s="17">
        <f t="shared" ref="K10:K14" si="1">J10*H10</f>
        <v>4340</v>
      </c>
      <c r="L10" s="17" t="s">
        <v>217</v>
      </c>
      <c r="M10" s="17" t="s">
        <v>222</v>
      </c>
      <c r="N10" s="16"/>
    </row>
    <row r="11" ht="29" spans="1:14">
      <c r="A11" s="17">
        <v>4</v>
      </c>
      <c r="B11" s="18" t="s">
        <v>226</v>
      </c>
      <c r="C11" s="17" t="s">
        <v>230</v>
      </c>
      <c r="D11" s="17">
        <v>40</v>
      </c>
      <c r="E11" s="17">
        <v>15</v>
      </c>
      <c r="F11" s="17"/>
      <c r="G11" s="17">
        <v>3</v>
      </c>
      <c r="H11" s="18">
        <f>1*2</f>
        <v>2</v>
      </c>
      <c r="I11" s="19">
        <v>0.13</v>
      </c>
      <c r="J11" s="17">
        <v>1301</v>
      </c>
      <c r="K11" s="17">
        <f t="shared" si="1"/>
        <v>2602</v>
      </c>
      <c r="L11" s="17" t="s">
        <v>217</v>
      </c>
      <c r="M11" s="17" t="s">
        <v>218</v>
      </c>
      <c r="N11" s="16"/>
    </row>
    <row r="12" ht="14.5" spans="1:14">
      <c r="A12" s="17"/>
      <c r="B12" s="18" t="s">
        <v>219</v>
      </c>
      <c r="C12" s="17" t="s">
        <v>224</v>
      </c>
      <c r="D12" s="17"/>
      <c r="E12" s="17"/>
      <c r="F12" s="17"/>
      <c r="G12" s="17"/>
      <c r="H12" s="18"/>
      <c r="I12" s="19"/>
      <c r="J12" s="17"/>
      <c r="K12" s="17"/>
      <c r="L12" s="17" t="s">
        <v>217</v>
      </c>
      <c r="M12" s="17"/>
      <c r="N12" s="16"/>
    </row>
    <row r="13" ht="58" spans="1:14">
      <c r="A13" s="17"/>
      <c r="B13" s="18" t="s">
        <v>21</v>
      </c>
      <c r="C13" s="17" t="s">
        <v>231</v>
      </c>
      <c r="D13" s="17"/>
      <c r="E13" s="17"/>
      <c r="F13" s="17"/>
      <c r="G13" s="17"/>
      <c r="H13" s="18">
        <v>1</v>
      </c>
      <c r="I13" s="19"/>
      <c r="J13" s="17">
        <v>868</v>
      </c>
      <c r="K13" s="17">
        <f t="shared" si="1"/>
        <v>868</v>
      </c>
      <c r="L13" s="17" t="s">
        <v>217</v>
      </c>
      <c r="M13" s="17" t="s">
        <v>222</v>
      </c>
      <c r="N13" s="16"/>
    </row>
    <row r="14" ht="29" spans="1:14">
      <c r="A14" s="17">
        <v>5</v>
      </c>
      <c r="B14" s="18" t="s">
        <v>215</v>
      </c>
      <c r="C14" s="17" t="s">
        <v>230</v>
      </c>
      <c r="D14" s="17">
        <v>40</v>
      </c>
      <c r="E14" s="17">
        <v>15</v>
      </c>
      <c r="F14" s="17"/>
      <c r="G14" s="17">
        <v>3</v>
      </c>
      <c r="H14" s="18">
        <f>3*2</f>
        <v>6</v>
      </c>
      <c r="I14" s="19">
        <v>0.13</v>
      </c>
      <c r="J14" s="17">
        <v>1301</v>
      </c>
      <c r="K14" s="17">
        <f t="shared" si="1"/>
        <v>7806</v>
      </c>
      <c r="L14" s="17" t="s">
        <v>217</v>
      </c>
      <c r="M14" s="17" t="s">
        <v>218</v>
      </c>
      <c r="N14" s="16"/>
    </row>
    <row r="15" ht="14.5" spans="1:14">
      <c r="A15" s="17"/>
      <c r="B15" s="18" t="s">
        <v>219</v>
      </c>
      <c r="C15" s="17" t="s">
        <v>224</v>
      </c>
      <c r="D15" s="17"/>
      <c r="E15" s="17"/>
      <c r="F15" s="17"/>
      <c r="G15" s="17"/>
      <c r="H15" s="18"/>
      <c r="I15" s="19"/>
      <c r="J15" s="17"/>
      <c r="K15" s="17"/>
      <c r="L15" s="17" t="s">
        <v>217</v>
      </c>
      <c r="M15" s="17"/>
      <c r="N15" s="16"/>
    </row>
    <row r="16" ht="58" spans="1:14">
      <c r="A16" s="17"/>
      <c r="B16" s="18" t="s">
        <v>21</v>
      </c>
      <c r="C16" s="17" t="s">
        <v>231</v>
      </c>
      <c r="D16" s="17"/>
      <c r="E16" s="17"/>
      <c r="F16" s="17"/>
      <c r="G16" s="17"/>
      <c r="H16" s="18">
        <v>3</v>
      </c>
      <c r="I16" s="19"/>
      <c r="J16" s="17">
        <v>868</v>
      </c>
      <c r="K16" s="17">
        <f t="shared" ref="K16:K20" si="2">J16*H16</f>
        <v>2604</v>
      </c>
      <c r="L16" s="17" t="s">
        <v>217</v>
      </c>
      <c r="M16" s="17" t="s">
        <v>222</v>
      </c>
      <c r="N16" s="16"/>
    </row>
    <row r="17" ht="29" spans="1:14">
      <c r="A17" s="17">
        <v>6</v>
      </c>
      <c r="B17" s="18" t="s">
        <v>215</v>
      </c>
      <c r="C17" s="17" t="s">
        <v>230</v>
      </c>
      <c r="D17" s="17">
        <v>40</v>
      </c>
      <c r="E17" s="17">
        <v>15</v>
      </c>
      <c r="F17" s="17"/>
      <c r="G17" s="17">
        <v>3</v>
      </c>
      <c r="H17" s="18">
        <f>2*2</f>
        <v>4</v>
      </c>
      <c r="I17" s="19">
        <v>0.13</v>
      </c>
      <c r="J17" s="17">
        <v>1301</v>
      </c>
      <c r="K17" s="17">
        <f t="shared" si="2"/>
        <v>5204</v>
      </c>
      <c r="L17" s="17" t="s">
        <v>217</v>
      </c>
      <c r="M17" s="17" t="s">
        <v>218</v>
      </c>
      <c r="N17" s="16"/>
    </row>
    <row r="18" ht="14.5" spans="1:14">
      <c r="A18" s="17"/>
      <c r="B18" s="18" t="s">
        <v>219</v>
      </c>
      <c r="C18" s="17" t="s">
        <v>224</v>
      </c>
      <c r="D18" s="17"/>
      <c r="E18" s="17"/>
      <c r="F18" s="17"/>
      <c r="G18" s="17"/>
      <c r="H18" s="18"/>
      <c r="I18" s="19"/>
      <c r="J18" s="17"/>
      <c r="K18" s="17"/>
      <c r="L18" s="17" t="s">
        <v>217</v>
      </c>
      <c r="M18" s="17"/>
      <c r="N18" s="16"/>
    </row>
    <row r="19" ht="58" spans="1:14">
      <c r="A19" s="17"/>
      <c r="B19" s="18" t="s">
        <v>21</v>
      </c>
      <c r="C19" s="17" t="s">
        <v>229</v>
      </c>
      <c r="D19" s="17"/>
      <c r="E19" s="17"/>
      <c r="F19" s="17"/>
      <c r="G19" s="17"/>
      <c r="H19" s="18">
        <v>2</v>
      </c>
      <c r="I19" s="19"/>
      <c r="J19" s="17">
        <v>868</v>
      </c>
      <c r="K19" s="17">
        <f t="shared" si="2"/>
        <v>1736</v>
      </c>
      <c r="L19" s="17" t="s">
        <v>217</v>
      </c>
      <c r="M19" s="17" t="s">
        <v>222</v>
      </c>
      <c r="N19" s="16"/>
    </row>
    <row r="20" ht="29" spans="1:14">
      <c r="A20" s="17">
        <v>7</v>
      </c>
      <c r="B20" s="18" t="s">
        <v>215</v>
      </c>
      <c r="C20" s="17" t="s">
        <v>216</v>
      </c>
      <c r="D20" s="17">
        <v>40</v>
      </c>
      <c r="E20" s="17">
        <v>23</v>
      </c>
      <c r="F20" s="17"/>
      <c r="G20" s="17">
        <v>5.5</v>
      </c>
      <c r="H20" s="18">
        <f>2*2</f>
        <v>4</v>
      </c>
      <c r="I20" s="19">
        <v>0.13</v>
      </c>
      <c r="J20" s="17">
        <v>1934</v>
      </c>
      <c r="K20" s="17">
        <f t="shared" si="2"/>
        <v>7736</v>
      </c>
      <c r="L20" s="17" t="s">
        <v>217</v>
      </c>
      <c r="M20" s="17" t="s">
        <v>218</v>
      </c>
      <c r="N20" s="16"/>
    </row>
    <row r="21" ht="14.5" spans="1:14">
      <c r="A21" s="17"/>
      <c r="B21" s="18" t="s">
        <v>219</v>
      </c>
      <c r="C21" s="17" t="s">
        <v>220</v>
      </c>
      <c r="D21" s="17"/>
      <c r="E21" s="17"/>
      <c r="F21" s="17"/>
      <c r="G21" s="17"/>
      <c r="H21" s="18"/>
      <c r="I21" s="19"/>
      <c r="J21" s="17"/>
      <c r="K21" s="17"/>
      <c r="L21" s="17" t="s">
        <v>217</v>
      </c>
      <c r="M21" s="17"/>
      <c r="N21" s="16"/>
    </row>
    <row r="22" ht="58" spans="1:14">
      <c r="A22" s="17"/>
      <c r="B22" s="18" t="s">
        <v>21</v>
      </c>
      <c r="C22" s="17" t="s">
        <v>232</v>
      </c>
      <c r="D22" s="17"/>
      <c r="E22" s="17"/>
      <c r="F22" s="17"/>
      <c r="G22" s="17"/>
      <c r="H22" s="17">
        <v>2</v>
      </c>
      <c r="I22" s="19"/>
      <c r="J22" s="17">
        <v>868</v>
      </c>
      <c r="K22" s="17">
        <f t="shared" ref="K22:K27" si="3">J22*H22</f>
        <v>1736</v>
      </c>
      <c r="L22" s="17" t="s">
        <v>217</v>
      </c>
      <c r="M22" s="17" t="s">
        <v>222</v>
      </c>
      <c r="N22" s="16"/>
    </row>
    <row r="23" ht="29" spans="1:14">
      <c r="A23" s="17">
        <v>8</v>
      </c>
      <c r="B23" s="21" t="s">
        <v>233</v>
      </c>
      <c r="C23" s="17" t="s">
        <v>230</v>
      </c>
      <c r="D23" s="17">
        <v>40</v>
      </c>
      <c r="E23" s="17">
        <v>15</v>
      </c>
      <c r="F23" s="17"/>
      <c r="G23" s="17">
        <v>3</v>
      </c>
      <c r="H23" s="18">
        <f>1*3</f>
        <v>3</v>
      </c>
      <c r="I23" s="19">
        <v>0.13</v>
      </c>
      <c r="J23" s="17">
        <v>1499</v>
      </c>
      <c r="K23" s="17">
        <f t="shared" si="3"/>
        <v>4497</v>
      </c>
      <c r="L23" s="17" t="s">
        <v>217</v>
      </c>
      <c r="M23" s="17" t="s">
        <v>234</v>
      </c>
      <c r="N23" s="16"/>
    </row>
    <row r="24" ht="14.5" spans="1:14">
      <c r="A24" s="17"/>
      <c r="B24" s="18" t="s">
        <v>219</v>
      </c>
      <c r="C24" s="17" t="s">
        <v>224</v>
      </c>
      <c r="D24" s="17"/>
      <c r="E24" s="17"/>
      <c r="F24" s="17"/>
      <c r="G24" s="17"/>
      <c r="H24" s="18"/>
      <c r="I24" s="19"/>
      <c r="J24" s="17"/>
      <c r="K24" s="17"/>
      <c r="L24" s="17" t="s">
        <v>217</v>
      </c>
      <c r="M24" s="17"/>
      <c r="N24" s="16"/>
    </row>
    <row r="25" ht="58" spans="1:14">
      <c r="A25" s="17"/>
      <c r="B25" s="18" t="s">
        <v>21</v>
      </c>
      <c r="C25" s="17" t="s">
        <v>235</v>
      </c>
      <c r="D25" s="17"/>
      <c r="E25" s="17"/>
      <c r="F25" s="17"/>
      <c r="G25" s="17"/>
      <c r="H25" s="17">
        <v>1</v>
      </c>
      <c r="I25" s="19"/>
      <c r="J25" s="17">
        <v>1802</v>
      </c>
      <c r="K25" s="17">
        <f t="shared" si="3"/>
        <v>1802</v>
      </c>
      <c r="L25" s="17" t="s">
        <v>217</v>
      </c>
      <c r="M25" s="17" t="s">
        <v>236</v>
      </c>
      <c r="N25" s="16"/>
    </row>
    <row r="26" ht="43.5" spans="1:14">
      <c r="A26" s="17">
        <v>9</v>
      </c>
      <c r="B26" s="21" t="s">
        <v>237</v>
      </c>
      <c r="C26" s="17" t="s">
        <v>238</v>
      </c>
      <c r="D26" s="17">
        <v>15</v>
      </c>
      <c r="E26" s="17">
        <v>22</v>
      </c>
      <c r="F26" s="17"/>
      <c r="G26" s="17">
        <v>2.2</v>
      </c>
      <c r="H26" s="17">
        <v>11</v>
      </c>
      <c r="I26" s="22">
        <v>0.13</v>
      </c>
      <c r="J26" s="17">
        <v>1153</v>
      </c>
      <c r="K26" s="17">
        <f t="shared" si="3"/>
        <v>12683</v>
      </c>
      <c r="L26" s="17" t="s">
        <v>217</v>
      </c>
      <c r="M26" s="17" t="s">
        <v>239</v>
      </c>
      <c r="N26" s="16"/>
    </row>
    <row r="27" ht="58" spans="1:14">
      <c r="A27" s="17"/>
      <c r="B27" s="18" t="s">
        <v>21</v>
      </c>
      <c r="C27" s="17" t="s">
        <v>240</v>
      </c>
      <c r="D27" s="17"/>
      <c r="E27" s="17"/>
      <c r="F27" s="17"/>
      <c r="G27" s="17"/>
      <c r="H27" s="17">
        <v>11</v>
      </c>
      <c r="I27" s="17"/>
      <c r="J27" s="17">
        <v>540</v>
      </c>
      <c r="K27" s="17">
        <f t="shared" si="3"/>
        <v>5940</v>
      </c>
      <c r="L27" s="17" t="s">
        <v>217</v>
      </c>
      <c r="M27" s="17" t="s">
        <v>241</v>
      </c>
      <c r="N27" s="16"/>
    </row>
  </sheetData>
  <mergeCells count="50">
    <mergeCell ref="A2:A4"/>
    <mergeCell ref="A5:A7"/>
    <mergeCell ref="A8:A10"/>
    <mergeCell ref="A11:A13"/>
    <mergeCell ref="A14:A16"/>
    <mergeCell ref="A17:A19"/>
    <mergeCell ref="A20:A22"/>
    <mergeCell ref="A23:A25"/>
    <mergeCell ref="A26:A27"/>
    <mergeCell ref="H2:H3"/>
    <mergeCell ref="H5:H6"/>
    <mergeCell ref="H8:H9"/>
    <mergeCell ref="H11:H12"/>
    <mergeCell ref="H14:H15"/>
    <mergeCell ref="H17:H18"/>
    <mergeCell ref="H20:H21"/>
    <mergeCell ref="H23:H24"/>
    <mergeCell ref="I2:I4"/>
    <mergeCell ref="I5:I7"/>
    <mergeCell ref="I8:I10"/>
    <mergeCell ref="I11:I13"/>
    <mergeCell ref="I14:I16"/>
    <mergeCell ref="I17:I19"/>
    <mergeCell ref="I20:I22"/>
    <mergeCell ref="I23:I25"/>
    <mergeCell ref="I26:I27"/>
    <mergeCell ref="J2:J3"/>
    <mergeCell ref="J5:J6"/>
    <mergeCell ref="J8:J9"/>
    <mergeCell ref="J11:J12"/>
    <mergeCell ref="J14:J15"/>
    <mergeCell ref="J17:J18"/>
    <mergeCell ref="J20:J21"/>
    <mergeCell ref="J23:J24"/>
    <mergeCell ref="K2:K3"/>
    <mergeCell ref="K5:K6"/>
    <mergeCell ref="K8:K9"/>
    <mergeCell ref="K11:K12"/>
    <mergeCell ref="K14:K15"/>
    <mergeCell ref="K17:K18"/>
    <mergeCell ref="K20:K21"/>
    <mergeCell ref="K23:K24"/>
    <mergeCell ref="M2:M3"/>
    <mergeCell ref="M5:M6"/>
    <mergeCell ref="M8:M9"/>
    <mergeCell ref="M11:M12"/>
    <mergeCell ref="M14:M15"/>
    <mergeCell ref="M17:M18"/>
    <mergeCell ref="M20:M21"/>
    <mergeCell ref="M23:M2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3"/>
  <sheetViews>
    <sheetView zoomScale="70" zoomScaleNormal="70" workbookViewId="0">
      <selection activeCell="M11" sqref="M11"/>
    </sheetView>
  </sheetViews>
  <sheetFormatPr defaultColWidth="8.72727272727273" defaultRowHeight="14"/>
  <cols>
    <col min="1" max="1" width="5.18181818181818" customWidth="1"/>
    <col min="2" max="2" width="18.9090909090909" customWidth="1"/>
    <col min="3" max="3" width="34.2727272727273" customWidth="1"/>
    <col min="4" max="4" width="11.8181818181818" customWidth="1"/>
    <col min="5" max="5" width="8.81818181818182" customWidth="1"/>
    <col min="6" max="6" width="5.18181818181818" customWidth="1"/>
    <col min="7" max="7" width="9.72727272727273" customWidth="1"/>
    <col min="8" max="9" width="5.18181818181818" customWidth="1"/>
    <col min="10" max="10" width="6.54545454545455" customWidth="1"/>
    <col min="11" max="11" width="8.54545454545454" customWidth="1"/>
    <col min="12" max="12" width="8.30909090909091" customWidth="1"/>
    <col min="13" max="13" width="44.2818181818182" style="1" customWidth="1"/>
    <col min="14" max="14" width="32.8545454545455" customWidth="1"/>
  </cols>
  <sheetData>
    <row r="1" spans="1:1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3" t="s">
        <v>10</v>
      </c>
      <c r="K1" s="3" t="s">
        <v>11</v>
      </c>
      <c r="L1" s="3" t="s">
        <v>26</v>
      </c>
      <c r="M1" s="4" t="s">
        <v>103</v>
      </c>
    </row>
    <row r="2" spans="1:13">
      <c r="A2" s="5">
        <v>1</v>
      </c>
      <c r="B2" s="5" t="s">
        <v>13</v>
      </c>
      <c r="C2" s="5" t="s">
        <v>242</v>
      </c>
      <c r="D2" s="5">
        <v>8</v>
      </c>
      <c r="E2" s="5">
        <v>22</v>
      </c>
      <c r="F2" s="5" t="s">
        <v>34</v>
      </c>
      <c r="G2" s="5">
        <v>2.5</v>
      </c>
      <c r="H2" s="5">
        <v>16</v>
      </c>
      <c r="I2" s="6">
        <v>0.13</v>
      </c>
      <c r="J2" s="7">
        <v>5150</v>
      </c>
      <c r="K2" s="7">
        <v>82400</v>
      </c>
      <c r="L2" s="8"/>
      <c r="M2" s="9" t="s">
        <v>243</v>
      </c>
    </row>
    <row r="3" spans="1:13">
      <c r="A3" s="5"/>
      <c r="B3" s="5" t="s">
        <v>15</v>
      </c>
      <c r="C3" s="5"/>
      <c r="D3" s="5"/>
      <c r="E3" s="5"/>
      <c r="F3" s="5"/>
      <c r="G3" s="5"/>
      <c r="H3" s="5">
        <v>16</v>
      </c>
      <c r="I3" s="6">
        <v>0.13</v>
      </c>
      <c r="J3" s="2"/>
      <c r="K3" s="2"/>
      <c r="L3" s="8"/>
      <c r="M3" s="9" t="s">
        <v>244</v>
      </c>
    </row>
    <row r="4" spans="1:13">
      <c r="A4" s="5"/>
      <c r="B4" s="5" t="s">
        <v>17</v>
      </c>
      <c r="C4" s="5" t="s">
        <v>245</v>
      </c>
      <c r="D4" s="5"/>
      <c r="E4" s="5"/>
      <c r="F4" s="5"/>
      <c r="G4" s="5"/>
      <c r="H4" s="5">
        <v>16</v>
      </c>
      <c r="I4" s="6">
        <v>0.13</v>
      </c>
      <c r="J4" s="2"/>
      <c r="K4" s="2"/>
      <c r="L4" s="8"/>
      <c r="M4" s="9" t="s">
        <v>246</v>
      </c>
    </row>
    <row r="5" spans="1:13">
      <c r="A5" s="5"/>
      <c r="B5" s="5" t="s">
        <v>19</v>
      </c>
      <c r="C5" s="5" t="s">
        <v>247</v>
      </c>
      <c r="D5" s="5"/>
      <c r="E5" s="5"/>
      <c r="F5" s="5"/>
      <c r="G5" s="5"/>
      <c r="H5" s="5">
        <v>16</v>
      </c>
      <c r="I5" s="6">
        <v>0.13</v>
      </c>
      <c r="J5" s="2"/>
      <c r="K5" s="2"/>
      <c r="L5" s="8"/>
      <c r="M5" s="9" t="s">
        <v>248</v>
      </c>
    </row>
    <row r="6" ht="26" spans="1:13">
      <c r="A6" s="5"/>
      <c r="B6" s="5" t="s">
        <v>21</v>
      </c>
      <c r="C6" s="5" t="s">
        <v>249</v>
      </c>
      <c r="D6" s="5"/>
      <c r="E6" s="5"/>
      <c r="F6" s="5"/>
      <c r="G6" s="5"/>
      <c r="H6" s="5">
        <v>0</v>
      </c>
      <c r="I6" s="6">
        <v>0.13</v>
      </c>
      <c r="J6" s="5"/>
      <c r="K6" s="5"/>
      <c r="L6" s="8"/>
      <c r="M6" s="9" t="s">
        <v>250</v>
      </c>
    </row>
    <row r="7" spans="1:13">
      <c r="A7" s="5"/>
      <c r="B7" s="5" t="s">
        <v>23</v>
      </c>
      <c r="C7" s="5" t="s">
        <v>251</v>
      </c>
      <c r="D7" s="5"/>
      <c r="E7" s="5"/>
      <c r="F7" s="5"/>
      <c r="G7" s="5"/>
      <c r="H7" s="5">
        <v>8</v>
      </c>
      <c r="I7" s="6">
        <v>0.13</v>
      </c>
      <c r="J7" s="10">
        <v>58</v>
      </c>
      <c r="K7" s="10">
        <v>464</v>
      </c>
      <c r="L7" s="8"/>
      <c r="M7" s="9"/>
    </row>
    <row r="8" spans="1:13">
      <c r="A8" s="5">
        <v>2</v>
      </c>
      <c r="B8" s="5" t="s">
        <v>13</v>
      </c>
      <c r="C8" s="5" t="s">
        <v>242</v>
      </c>
      <c r="D8" s="5">
        <v>10</v>
      </c>
      <c r="E8" s="5">
        <v>22</v>
      </c>
      <c r="F8" s="5" t="s">
        <v>34</v>
      </c>
      <c r="G8" s="5">
        <v>2.5</v>
      </c>
      <c r="H8" s="5">
        <v>2</v>
      </c>
      <c r="I8" s="6">
        <v>0.13</v>
      </c>
      <c r="J8" s="7">
        <v>5150</v>
      </c>
      <c r="K8" s="7">
        <v>10300</v>
      </c>
      <c r="L8" s="8"/>
      <c r="M8" s="9" t="s">
        <v>243</v>
      </c>
    </row>
    <row r="9" spans="1:13">
      <c r="A9" s="5"/>
      <c r="B9" s="5" t="s">
        <v>15</v>
      </c>
      <c r="C9" s="5"/>
      <c r="D9" s="5"/>
      <c r="E9" s="5"/>
      <c r="F9" s="5"/>
      <c r="G9" s="5"/>
      <c r="H9" s="5">
        <v>2</v>
      </c>
      <c r="I9" s="6">
        <v>0.13</v>
      </c>
      <c r="J9" s="2"/>
      <c r="K9" s="2"/>
      <c r="L9" s="8"/>
      <c r="M9" s="9" t="s">
        <v>244</v>
      </c>
    </row>
    <row r="10" spans="1:13">
      <c r="A10" s="5"/>
      <c r="B10" s="5" t="s">
        <v>17</v>
      </c>
      <c r="C10" s="5" t="s">
        <v>252</v>
      </c>
      <c r="D10" s="5"/>
      <c r="E10" s="5"/>
      <c r="F10" s="5"/>
      <c r="G10" s="5"/>
      <c r="H10" s="5">
        <v>2</v>
      </c>
      <c r="I10" s="6">
        <v>0.13</v>
      </c>
      <c r="J10" s="2"/>
      <c r="K10" s="2"/>
      <c r="L10" s="8"/>
      <c r="M10" s="9" t="s">
        <v>246</v>
      </c>
    </row>
    <row r="11" spans="1:13">
      <c r="A11" s="5"/>
      <c r="B11" s="5" t="s">
        <v>19</v>
      </c>
      <c r="C11" s="5" t="s">
        <v>247</v>
      </c>
      <c r="D11" s="5"/>
      <c r="E11" s="5"/>
      <c r="F11" s="5"/>
      <c r="G11" s="5"/>
      <c r="H11" s="5">
        <v>2</v>
      </c>
      <c r="I11" s="6">
        <v>0.13</v>
      </c>
      <c r="J11" s="2"/>
      <c r="K11" s="2"/>
      <c r="L11" s="8"/>
      <c r="M11" s="9" t="s">
        <v>248</v>
      </c>
    </row>
    <row r="12" ht="26" spans="1:13">
      <c r="A12" s="5"/>
      <c r="B12" s="5" t="s">
        <v>21</v>
      </c>
      <c r="C12" s="5" t="s">
        <v>249</v>
      </c>
      <c r="D12" s="5"/>
      <c r="E12" s="5"/>
      <c r="F12" s="5"/>
      <c r="G12" s="5"/>
      <c r="H12" s="5">
        <v>0</v>
      </c>
      <c r="I12" s="6">
        <v>0.13</v>
      </c>
      <c r="J12" s="5"/>
      <c r="K12" s="5"/>
      <c r="L12" s="8"/>
      <c r="M12" s="9" t="s">
        <v>250</v>
      </c>
    </row>
    <row r="13" spans="1:13">
      <c r="A13" s="5"/>
      <c r="B13" s="5" t="s">
        <v>23</v>
      </c>
      <c r="C13" s="5" t="s">
        <v>251</v>
      </c>
      <c r="D13" s="5"/>
      <c r="E13" s="5"/>
      <c r="F13" s="5"/>
      <c r="G13" s="5"/>
      <c r="H13" s="5">
        <v>1</v>
      </c>
      <c r="I13" s="6">
        <v>0.13</v>
      </c>
      <c r="J13" s="10">
        <v>58</v>
      </c>
      <c r="K13" s="10">
        <v>58</v>
      </c>
      <c r="L13" s="8"/>
      <c r="M13" s="9"/>
    </row>
    <row r="14" spans="1:13">
      <c r="A14" s="5">
        <v>3</v>
      </c>
      <c r="B14" s="5" t="s">
        <v>13</v>
      </c>
      <c r="C14" s="5" t="s">
        <v>242</v>
      </c>
      <c r="D14" s="5">
        <v>15</v>
      </c>
      <c r="E14" s="5">
        <v>20</v>
      </c>
      <c r="F14" s="5" t="s">
        <v>34</v>
      </c>
      <c r="G14" s="5">
        <v>2.5</v>
      </c>
      <c r="H14" s="5">
        <v>2</v>
      </c>
      <c r="I14" s="6">
        <v>0.13</v>
      </c>
      <c r="J14" s="7">
        <v>5150</v>
      </c>
      <c r="K14" s="7">
        <v>10300</v>
      </c>
      <c r="L14" s="8"/>
      <c r="M14" s="9" t="s">
        <v>243</v>
      </c>
    </row>
    <row r="15" spans="1:13">
      <c r="A15" s="5"/>
      <c r="B15" s="5" t="s">
        <v>15</v>
      </c>
      <c r="C15" s="5"/>
      <c r="D15" s="5"/>
      <c r="E15" s="5"/>
      <c r="F15" s="5"/>
      <c r="G15" s="5"/>
      <c r="H15" s="5">
        <v>2</v>
      </c>
      <c r="I15" s="6">
        <v>0.13</v>
      </c>
      <c r="J15" s="2"/>
      <c r="K15" s="2"/>
      <c r="L15" s="8"/>
      <c r="M15" s="9" t="s">
        <v>244</v>
      </c>
    </row>
    <row r="16" spans="1:13">
      <c r="A16" s="5"/>
      <c r="B16" s="5" t="s">
        <v>17</v>
      </c>
      <c r="C16" s="5" t="s">
        <v>252</v>
      </c>
      <c r="D16" s="5"/>
      <c r="E16" s="5"/>
      <c r="F16" s="5"/>
      <c r="G16" s="5"/>
      <c r="H16" s="5">
        <v>2</v>
      </c>
      <c r="I16" s="6">
        <v>0.13</v>
      </c>
      <c r="J16" s="2"/>
      <c r="K16" s="2"/>
      <c r="L16" s="8"/>
      <c r="M16" s="9" t="s">
        <v>246</v>
      </c>
    </row>
    <row r="17" spans="1:13">
      <c r="A17" s="5"/>
      <c r="B17" s="5" t="s">
        <v>19</v>
      </c>
      <c r="C17" s="5" t="s">
        <v>247</v>
      </c>
      <c r="D17" s="5"/>
      <c r="E17" s="5"/>
      <c r="F17" s="5"/>
      <c r="G17" s="5"/>
      <c r="H17" s="5">
        <v>2</v>
      </c>
      <c r="I17" s="6">
        <v>0.13</v>
      </c>
      <c r="J17" s="2"/>
      <c r="K17" s="2"/>
      <c r="L17" s="8"/>
      <c r="M17" s="9" t="s">
        <v>248</v>
      </c>
    </row>
    <row r="18" ht="26" spans="1:13">
      <c r="A18" s="5"/>
      <c r="B18" s="5" t="s">
        <v>21</v>
      </c>
      <c r="C18" s="5" t="s">
        <v>249</v>
      </c>
      <c r="D18" s="5"/>
      <c r="E18" s="5"/>
      <c r="F18" s="5"/>
      <c r="G18" s="5"/>
      <c r="H18" s="5">
        <v>0</v>
      </c>
      <c r="I18" s="6">
        <v>0.13</v>
      </c>
      <c r="J18" s="5"/>
      <c r="K18" s="5"/>
      <c r="L18" s="8"/>
      <c r="M18" s="9" t="s">
        <v>250</v>
      </c>
    </row>
    <row r="19" spans="1:13">
      <c r="A19" s="5"/>
      <c r="B19" s="5" t="s">
        <v>23</v>
      </c>
      <c r="C19" s="5" t="s">
        <v>251</v>
      </c>
      <c r="D19" s="5"/>
      <c r="E19" s="5"/>
      <c r="F19" s="5"/>
      <c r="G19" s="5"/>
      <c r="H19" s="5">
        <v>1</v>
      </c>
      <c r="I19" s="6">
        <v>0.13</v>
      </c>
      <c r="J19" s="10">
        <v>58</v>
      </c>
      <c r="K19" s="10">
        <v>58</v>
      </c>
      <c r="L19" s="8"/>
      <c r="M19" s="9"/>
    </row>
    <row r="20" spans="1:13">
      <c r="A20" s="5">
        <v>4</v>
      </c>
      <c r="B20" s="5" t="s">
        <v>13</v>
      </c>
      <c r="C20" s="5" t="s">
        <v>253</v>
      </c>
      <c r="D20" s="5">
        <v>25</v>
      </c>
      <c r="E20" s="5">
        <v>22</v>
      </c>
      <c r="F20" s="5" t="s">
        <v>34</v>
      </c>
      <c r="G20" s="5">
        <v>3.9</v>
      </c>
      <c r="H20" s="5">
        <v>64</v>
      </c>
      <c r="I20" s="6">
        <v>0.13</v>
      </c>
      <c r="J20" s="7">
        <v>5893</v>
      </c>
      <c r="K20" s="7">
        <v>377152</v>
      </c>
      <c r="L20" s="8"/>
      <c r="M20" s="9" t="s">
        <v>243</v>
      </c>
    </row>
    <row r="21" spans="1:13">
      <c r="A21" s="5"/>
      <c r="B21" s="5" t="s">
        <v>15</v>
      </c>
      <c r="C21" s="5"/>
      <c r="D21" s="5"/>
      <c r="E21" s="5"/>
      <c r="F21" s="5"/>
      <c r="G21" s="5"/>
      <c r="H21" s="5">
        <v>64</v>
      </c>
      <c r="I21" s="6">
        <v>0.13</v>
      </c>
      <c r="J21" s="2"/>
      <c r="K21" s="2"/>
      <c r="L21" s="8"/>
      <c r="M21" s="9" t="s">
        <v>244</v>
      </c>
    </row>
    <row r="22" spans="1:13">
      <c r="A22" s="5"/>
      <c r="B22" s="5" t="s">
        <v>17</v>
      </c>
      <c r="C22" s="5" t="s">
        <v>252</v>
      </c>
      <c r="D22" s="5"/>
      <c r="E22" s="5"/>
      <c r="F22" s="5"/>
      <c r="G22" s="5"/>
      <c r="H22" s="5">
        <v>64</v>
      </c>
      <c r="I22" s="6">
        <v>0.13</v>
      </c>
      <c r="J22" s="2"/>
      <c r="K22" s="2"/>
      <c r="L22" s="8"/>
      <c r="M22" s="9" t="s">
        <v>246</v>
      </c>
    </row>
    <row r="23" spans="1:13">
      <c r="A23" s="5"/>
      <c r="B23" s="5" t="s">
        <v>19</v>
      </c>
      <c r="C23" s="5" t="s">
        <v>247</v>
      </c>
      <c r="D23" s="5"/>
      <c r="E23" s="5"/>
      <c r="F23" s="5"/>
      <c r="G23" s="5"/>
      <c r="H23" s="5">
        <v>64</v>
      </c>
      <c r="I23" s="6">
        <v>0.13</v>
      </c>
      <c r="J23" s="2"/>
      <c r="K23" s="2"/>
      <c r="L23" s="8"/>
      <c r="M23" s="9" t="s">
        <v>248</v>
      </c>
    </row>
    <row r="24" ht="26" spans="1:13">
      <c r="A24" s="5"/>
      <c r="B24" s="5" t="s">
        <v>21</v>
      </c>
      <c r="C24" s="5" t="s">
        <v>249</v>
      </c>
      <c r="D24" s="5"/>
      <c r="E24" s="5"/>
      <c r="F24" s="5"/>
      <c r="G24" s="5"/>
      <c r="H24" s="5">
        <v>0</v>
      </c>
      <c r="I24" s="6">
        <v>0.13</v>
      </c>
      <c r="J24" s="5"/>
      <c r="K24" s="5"/>
      <c r="L24" s="8"/>
      <c r="M24" s="9" t="s">
        <v>250</v>
      </c>
    </row>
    <row r="25" spans="1:13">
      <c r="A25" s="5"/>
      <c r="B25" s="5" t="s">
        <v>23</v>
      </c>
      <c r="C25" s="5" t="s">
        <v>251</v>
      </c>
      <c r="D25" s="5"/>
      <c r="E25" s="5"/>
      <c r="F25" s="5"/>
      <c r="G25" s="5"/>
      <c r="H25" s="5">
        <v>32</v>
      </c>
      <c r="I25" s="6">
        <v>0.13</v>
      </c>
      <c r="J25" s="10">
        <v>58</v>
      </c>
      <c r="K25" s="10">
        <v>1856</v>
      </c>
      <c r="L25" s="8"/>
      <c r="M25" s="9"/>
    </row>
    <row r="26" spans="1:13">
      <c r="A26" s="5">
        <v>5</v>
      </c>
      <c r="B26" s="5" t="s">
        <v>13</v>
      </c>
      <c r="C26" s="5" t="s">
        <v>253</v>
      </c>
      <c r="D26" s="5">
        <v>25</v>
      </c>
      <c r="E26" s="5">
        <v>25</v>
      </c>
      <c r="F26" s="5" t="s">
        <v>34</v>
      </c>
      <c r="G26" s="5">
        <v>3.9</v>
      </c>
      <c r="H26" s="5">
        <v>6</v>
      </c>
      <c r="I26" s="6">
        <v>0.13</v>
      </c>
      <c r="J26" s="7">
        <v>5893</v>
      </c>
      <c r="K26" s="7">
        <v>35358</v>
      </c>
      <c r="L26" s="8"/>
      <c r="M26" s="9" t="s">
        <v>243</v>
      </c>
    </row>
    <row r="27" spans="1:13">
      <c r="A27" s="5"/>
      <c r="B27" s="5" t="s">
        <v>15</v>
      </c>
      <c r="C27" s="5"/>
      <c r="D27" s="5"/>
      <c r="E27" s="5"/>
      <c r="F27" s="5"/>
      <c r="G27" s="5"/>
      <c r="H27" s="5">
        <v>6</v>
      </c>
      <c r="I27" s="6">
        <v>0.13</v>
      </c>
      <c r="J27" s="2"/>
      <c r="K27" s="2"/>
      <c r="L27" s="8"/>
      <c r="M27" s="9" t="s">
        <v>244</v>
      </c>
    </row>
    <row r="28" spans="1:13">
      <c r="A28" s="5"/>
      <c r="B28" s="5" t="s">
        <v>17</v>
      </c>
      <c r="C28" s="5" t="s">
        <v>252</v>
      </c>
      <c r="D28" s="5"/>
      <c r="E28" s="5"/>
      <c r="F28" s="5"/>
      <c r="G28" s="5"/>
      <c r="H28" s="5">
        <v>6</v>
      </c>
      <c r="I28" s="6">
        <v>0.13</v>
      </c>
      <c r="J28" s="2"/>
      <c r="K28" s="2"/>
      <c r="L28" s="8"/>
      <c r="M28" s="9" t="s">
        <v>246</v>
      </c>
    </row>
    <row r="29" spans="1:13">
      <c r="A29" s="5"/>
      <c r="B29" s="5" t="s">
        <v>19</v>
      </c>
      <c r="C29" s="5" t="s">
        <v>247</v>
      </c>
      <c r="D29" s="5"/>
      <c r="E29" s="5"/>
      <c r="F29" s="5"/>
      <c r="G29" s="5"/>
      <c r="H29" s="5">
        <v>6</v>
      </c>
      <c r="I29" s="6">
        <v>0.13</v>
      </c>
      <c r="J29" s="2"/>
      <c r="K29" s="2"/>
      <c r="L29" s="8"/>
      <c r="M29" s="9" t="s">
        <v>248</v>
      </c>
    </row>
    <row r="30" ht="26" spans="1:13">
      <c r="A30" s="5"/>
      <c r="B30" s="5" t="s">
        <v>21</v>
      </c>
      <c r="C30" s="5" t="s">
        <v>254</v>
      </c>
      <c r="D30" s="5"/>
      <c r="E30" s="5"/>
      <c r="F30" s="5"/>
      <c r="G30" s="5"/>
      <c r="H30" s="5">
        <v>0</v>
      </c>
      <c r="I30" s="6">
        <v>0.13</v>
      </c>
      <c r="J30" s="5"/>
      <c r="K30" s="5"/>
      <c r="L30" s="8"/>
      <c r="M30" s="9" t="s">
        <v>250</v>
      </c>
    </row>
    <row r="31" spans="1:13">
      <c r="A31" s="5"/>
      <c r="B31" s="5" t="s">
        <v>23</v>
      </c>
      <c r="C31" s="5" t="s">
        <v>255</v>
      </c>
      <c r="D31" s="5"/>
      <c r="E31" s="5"/>
      <c r="F31" s="5"/>
      <c r="G31" s="5"/>
      <c r="H31" s="5">
        <v>2</v>
      </c>
      <c r="I31" s="6">
        <v>0.13</v>
      </c>
      <c r="J31" s="10">
        <v>58</v>
      </c>
      <c r="K31" s="10">
        <v>116</v>
      </c>
      <c r="L31" s="8"/>
      <c r="M31" s="9"/>
    </row>
    <row r="32" spans="1:13">
      <c r="A32" s="5">
        <v>6</v>
      </c>
      <c r="B32" s="5" t="s">
        <v>13</v>
      </c>
      <c r="C32" s="5" t="s">
        <v>256</v>
      </c>
      <c r="D32" s="5">
        <v>36</v>
      </c>
      <c r="E32" s="5">
        <v>25</v>
      </c>
      <c r="F32" s="5" t="s">
        <v>34</v>
      </c>
      <c r="G32" s="5">
        <v>5</v>
      </c>
      <c r="H32" s="5">
        <v>6</v>
      </c>
      <c r="I32" s="6">
        <v>0.13</v>
      </c>
      <c r="J32" s="7">
        <v>6742</v>
      </c>
      <c r="K32" s="7">
        <v>40452</v>
      </c>
      <c r="L32" s="8"/>
      <c r="M32" s="9" t="s">
        <v>243</v>
      </c>
    </row>
    <row r="33" spans="1:13">
      <c r="A33" s="5"/>
      <c r="B33" s="5" t="s">
        <v>15</v>
      </c>
      <c r="C33" s="5"/>
      <c r="D33" s="5"/>
      <c r="E33" s="5"/>
      <c r="F33" s="5"/>
      <c r="G33" s="5"/>
      <c r="H33" s="5">
        <v>6</v>
      </c>
      <c r="I33" s="6">
        <v>0.13</v>
      </c>
      <c r="J33" s="2"/>
      <c r="K33" s="2"/>
      <c r="L33" s="8"/>
      <c r="M33" s="9" t="s">
        <v>244</v>
      </c>
    </row>
    <row r="34" spans="1:13">
      <c r="A34" s="5"/>
      <c r="B34" s="5" t="s">
        <v>17</v>
      </c>
      <c r="C34" s="5" t="s">
        <v>252</v>
      </c>
      <c r="D34" s="5"/>
      <c r="E34" s="5"/>
      <c r="F34" s="5"/>
      <c r="G34" s="5"/>
      <c r="H34" s="5">
        <v>6</v>
      </c>
      <c r="I34" s="6">
        <v>0.13</v>
      </c>
      <c r="J34" s="2"/>
      <c r="K34" s="2"/>
      <c r="L34" s="8"/>
      <c r="M34" s="9" t="s">
        <v>246</v>
      </c>
    </row>
    <row r="35" spans="1:13">
      <c r="A35" s="5"/>
      <c r="B35" s="5" t="s">
        <v>19</v>
      </c>
      <c r="C35" s="5" t="s">
        <v>247</v>
      </c>
      <c r="D35" s="5"/>
      <c r="E35" s="5"/>
      <c r="F35" s="5"/>
      <c r="G35" s="5"/>
      <c r="H35" s="5">
        <v>6</v>
      </c>
      <c r="I35" s="6">
        <v>0.13</v>
      </c>
      <c r="J35" s="2"/>
      <c r="K35" s="2"/>
      <c r="L35" s="8"/>
      <c r="M35" s="9" t="s">
        <v>248</v>
      </c>
    </row>
    <row r="36" ht="26" spans="1:13">
      <c r="A36" s="5"/>
      <c r="B36" s="5" t="s">
        <v>21</v>
      </c>
      <c r="C36" s="5" t="s">
        <v>249</v>
      </c>
      <c r="D36" s="5"/>
      <c r="E36" s="5"/>
      <c r="F36" s="5"/>
      <c r="G36" s="5"/>
      <c r="H36" s="5">
        <v>0</v>
      </c>
      <c r="I36" s="6">
        <v>0.13</v>
      </c>
      <c r="J36" s="5"/>
      <c r="K36" s="5"/>
      <c r="L36" s="8"/>
      <c r="M36" s="9" t="s">
        <v>250</v>
      </c>
    </row>
    <row r="37" spans="1:13">
      <c r="A37" s="5"/>
      <c r="B37" s="5" t="s">
        <v>23</v>
      </c>
      <c r="C37" s="5" t="s">
        <v>251</v>
      </c>
      <c r="D37" s="5"/>
      <c r="E37" s="5"/>
      <c r="F37" s="5"/>
      <c r="G37" s="5"/>
      <c r="H37" s="5">
        <v>3</v>
      </c>
      <c r="I37" s="6">
        <v>0.13</v>
      </c>
      <c r="J37" s="10">
        <v>58</v>
      </c>
      <c r="K37" s="10">
        <v>174</v>
      </c>
      <c r="L37" s="8"/>
      <c r="M37" s="9"/>
    </row>
    <row r="38" spans="1:13">
      <c r="A38" s="5">
        <v>7</v>
      </c>
      <c r="B38" s="5" t="s">
        <v>13</v>
      </c>
      <c r="C38" s="5" t="s">
        <v>256</v>
      </c>
      <c r="D38" s="5">
        <v>40</v>
      </c>
      <c r="E38" s="5">
        <v>22</v>
      </c>
      <c r="F38" s="5" t="s">
        <v>34</v>
      </c>
      <c r="G38" s="5">
        <v>5</v>
      </c>
      <c r="H38" s="5">
        <v>18</v>
      </c>
      <c r="I38" s="6">
        <v>0.13</v>
      </c>
      <c r="J38" s="7">
        <v>6742</v>
      </c>
      <c r="K38" s="7">
        <v>121356</v>
      </c>
      <c r="L38" s="8"/>
      <c r="M38" s="9" t="s">
        <v>243</v>
      </c>
    </row>
    <row r="39" spans="1:13">
      <c r="A39" s="5"/>
      <c r="B39" s="5" t="s">
        <v>15</v>
      </c>
      <c r="C39" s="5"/>
      <c r="D39" s="5"/>
      <c r="E39" s="5"/>
      <c r="F39" s="5"/>
      <c r="G39" s="5"/>
      <c r="H39" s="5">
        <v>18</v>
      </c>
      <c r="I39" s="6">
        <v>0.13</v>
      </c>
      <c r="J39" s="2"/>
      <c r="K39" s="2"/>
      <c r="L39" s="8"/>
      <c r="M39" s="9" t="s">
        <v>244</v>
      </c>
    </row>
    <row r="40" spans="1:13">
      <c r="A40" s="5"/>
      <c r="B40" s="5" t="s">
        <v>17</v>
      </c>
      <c r="C40" s="5" t="s">
        <v>252</v>
      </c>
      <c r="D40" s="5"/>
      <c r="E40" s="5"/>
      <c r="F40" s="5"/>
      <c r="G40" s="5"/>
      <c r="H40" s="5">
        <v>18</v>
      </c>
      <c r="I40" s="6">
        <v>0.13</v>
      </c>
      <c r="J40" s="2"/>
      <c r="K40" s="2"/>
      <c r="L40" s="8"/>
      <c r="M40" s="9" t="s">
        <v>246</v>
      </c>
    </row>
    <row r="41" spans="1:13">
      <c r="A41" s="5"/>
      <c r="B41" s="5" t="s">
        <v>19</v>
      </c>
      <c r="C41" s="5" t="s">
        <v>247</v>
      </c>
      <c r="D41" s="5"/>
      <c r="E41" s="5"/>
      <c r="F41" s="5"/>
      <c r="G41" s="5"/>
      <c r="H41" s="5">
        <v>18</v>
      </c>
      <c r="I41" s="6">
        <v>0.13</v>
      </c>
      <c r="J41" s="2"/>
      <c r="K41" s="2"/>
      <c r="L41" s="8"/>
      <c r="M41" s="9" t="s">
        <v>248</v>
      </c>
    </row>
    <row r="42" ht="26" spans="1:13">
      <c r="A42" s="5"/>
      <c r="B42" s="5" t="s">
        <v>21</v>
      </c>
      <c r="C42" s="5" t="s">
        <v>254</v>
      </c>
      <c r="D42" s="5"/>
      <c r="E42" s="5"/>
      <c r="F42" s="5"/>
      <c r="G42" s="5"/>
      <c r="H42" s="5">
        <v>0</v>
      </c>
      <c r="I42" s="6">
        <v>0.13</v>
      </c>
      <c r="J42" s="5"/>
      <c r="K42" s="5"/>
      <c r="L42" s="8"/>
      <c r="M42" s="9" t="s">
        <v>250</v>
      </c>
    </row>
    <row r="43" spans="1:13">
      <c r="A43" s="5"/>
      <c r="B43" s="5" t="s">
        <v>23</v>
      </c>
      <c r="C43" s="5" t="s">
        <v>255</v>
      </c>
      <c r="D43" s="5"/>
      <c r="E43" s="5"/>
      <c r="F43" s="5"/>
      <c r="G43" s="5"/>
      <c r="H43" s="5">
        <v>6</v>
      </c>
      <c r="I43" s="6">
        <v>0.13</v>
      </c>
      <c r="J43" s="10">
        <v>58</v>
      </c>
      <c r="K43" s="10">
        <v>348</v>
      </c>
      <c r="L43" s="8"/>
      <c r="M43" s="9"/>
    </row>
    <row r="44" spans="1:13">
      <c r="A44" s="5">
        <v>8</v>
      </c>
      <c r="B44" s="5" t="s">
        <v>13</v>
      </c>
      <c r="C44" s="5" t="s">
        <v>257</v>
      </c>
      <c r="D44" s="5">
        <v>46.3</v>
      </c>
      <c r="E44" s="5">
        <v>15</v>
      </c>
      <c r="F44" s="5" t="s">
        <v>34</v>
      </c>
      <c r="G44" s="5">
        <v>2.5</v>
      </c>
      <c r="H44" s="5">
        <v>4</v>
      </c>
      <c r="I44" s="6">
        <v>0.13</v>
      </c>
      <c r="J44" s="7">
        <v>5188</v>
      </c>
      <c r="K44" s="7">
        <v>20752</v>
      </c>
      <c r="L44" s="8"/>
      <c r="M44" s="9" t="s">
        <v>243</v>
      </c>
    </row>
    <row r="45" spans="1:13">
      <c r="A45" s="5"/>
      <c r="B45" s="5" t="s">
        <v>15</v>
      </c>
      <c r="C45" s="5"/>
      <c r="D45" s="5"/>
      <c r="E45" s="5"/>
      <c r="F45" s="5"/>
      <c r="G45" s="5"/>
      <c r="H45" s="5">
        <v>4</v>
      </c>
      <c r="I45" s="6">
        <v>0.13</v>
      </c>
      <c r="J45" s="2"/>
      <c r="K45" s="2"/>
      <c r="L45" s="8"/>
      <c r="M45" s="9" t="s">
        <v>244</v>
      </c>
    </row>
    <row r="46" spans="1:13">
      <c r="A46" s="5"/>
      <c r="B46" s="5" t="s">
        <v>17</v>
      </c>
      <c r="C46" s="5" t="s">
        <v>252</v>
      </c>
      <c r="D46" s="5"/>
      <c r="E46" s="5"/>
      <c r="F46" s="5"/>
      <c r="G46" s="5"/>
      <c r="H46" s="5">
        <v>4</v>
      </c>
      <c r="I46" s="6">
        <v>0.13</v>
      </c>
      <c r="J46" s="2"/>
      <c r="K46" s="2"/>
      <c r="L46" s="8"/>
      <c r="M46" s="9" t="s">
        <v>246</v>
      </c>
    </row>
    <row r="47" spans="1:13">
      <c r="A47" s="5"/>
      <c r="B47" s="5" t="s">
        <v>19</v>
      </c>
      <c r="C47" s="5" t="s">
        <v>247</v>
      </c>
      <c r="D47" s="5"/>
      <c r="E47" s="5"/>
      <c r="F47" s="5"/>
      <c r="G47" s="5"/>
      <c r="H47" s="5">
        <v>4</v>
      </c>
      <c r="I47" s="6">
        <v>0.13</v>
      </c>
      <c r="J47" s="2"/>
      <c r="K47" s="2"/>
      <c r="L47" s="8"/>
      <c r="M47" s="9" t="s">
        <v>248</v>
      </c>
    </row>
    <row r="48" ht="26" spans="1:13">
      <c r="A48" s="5"/>
      <c r="B48" s="5" t="s">
        <v>21</v>
      </c>
      <c r="C48" s="5" t="s">
        <v>258</v>
      </c>
      <c r="D48" s="5"/>
      <c r="E48" s="5"/>
      <c r="F48" s="5"/>
      <c r="G48" s="5"/>
      <c r="H48" s="5">
        <v>0</v>
      </c>
      <c r="I48" s="6">
        <v>0.13</v>
      </c>
      <c r="J48" s="5"/>
      <c r="K48" s="5"/>
      <c r="L48" s="8"/>
      <c r="M48" s="9" t="s">
        <v>250</v>
      </c>
    </row>
    <row r="49" spans="1:13">
      <c r="A49" s="5"/>
      <c r="B49" s="5" t="s">
        <v>23</v>
      </c>
      <c r="C49" s="5" t="s">
        <v>259</v>
      </c>
      <c r="D49" s="5"/>
      <c r="E49" s="5"/>
      <c r="F49" s="5"/>
      <c r="G49" s="5"/>
      <c r="H49" s="5">
        <v>1</v>
      </c>
      <c r="I49" s="6">
        <v>0.13</v>
      </c>
      <c r="J49" s="10">
        <v>58</v>
      </c>
      <c r="K49" s="10">
        <v>58</v>
      </c>
      <c r="L49" s="8"/>
      <c r="M49" s="9"/>
    </row>
    <row r="50" spans="1:13">
      <c r="A50" s="5">
        <v>9</v>
      </c>
      <c r="B50" s="5" t="s">
        <v>13</v>
      </c>
      <c r="C50" s="5" t="s">
        <v>260</v>
      </c>
      <c r="D50" s="5">
        <v>65</v>
      </c>
      <c r="E50" s="5">
        <v>22</v>
      </c>
      <c r="F50" s="5" t="s">
        <v>34</v>
      </c>
      <c r="G50" s="5">
        <v>11</v>
      </c>
      <c r="H50" s="5">
        <v>3</v>
      </c>
      <c r="I50" s="6">
        <v>0.13</v>
      </c>
      <c r="J50" s="10">
        <v>15532</v>
      </c>
      <c r="K50" s="7">
        <v>46596</v>
      </c>
      <c r="L50" s="8"/>
      <c r="M50" s="9" t="s">
        <v>243</v>
      </c>
    </row>
    <row r="51" spans="1:13">
      <c r="A51" s="5"/>
      <c r="B51" s="5" t="s">
        <v>15</v>
      </c>
      <c r="C51" s="5"/>
      <c r="D51" s="5"/>
      <c r="E51" s="5"/>
      <c r="F51" s="5"/>
      <c r="G51" s="5"/>
      <c r="H51" s="5">
        <v>3</v>
      </c>
      <c r="I51" s="6">
        <v>0.13</v>
      </c>
      <c r="J51" s="2"/>
      <c r="K51" s="2"/>
      <c r="L51" s="8"/>
      <c r="M51" s="9" t="s">
        <v>244</v>
      </c>
    </row>
    <row r="52" spans="1:13">
      <c r="A52" s="5"/>
      <c r="B52" s="5" t="s">
        <v>17</v>
      </c>
      <c r="C52" s="5" t="s">
        <v>252</v>
      </c>
      <c r="D52" s="5"/>
      <c r="E52" s="5"/>
      <c r="F52" s="5"/>
      <c r="G52" s="5"/>
      <c r="H52" s="5">
        <v>3</v>
      </c>
      <c r="I52" s="6">
        <v>0.13</v>
      </c>
      <c r="J52" s="2"/>
      <c r="K52" s="2"/>
      <c r="L52" s="8"/>
      <c r="M52" s="9" t="s">
        <v>246</v>
      </c>
    </row>
    <row r="53" spans="1:13">
      <c r="A53" s="5"/>
      <c r="B53" s="5" t="s">
        <v>19</v>
      </c>
      <c r="C53" s="5" t="s">
        <v>247</v>
      </c>
      <c r="D53" s="5"/>
      <c r="E53" s="5"/>
      <c r="F53" s="5"/>
      <c r="G53" s="5"/>
      <c r="H53" s="5">
        <v>3</v>
      </c>
      <c r="I53" s="6">
        <v>0.13</v>
      </c>
      <c r="J53" s="2"/>
      <c r="K53" s="2"/>
      <c r="L53" s="8"/>
      <c r="M53" s="9" t="s">
        <v>248</v>
      </c>
    </row>
    <row r="54" ht="26" spans="1:13">
      <c r="A54" s="5"/>
      <c r="B54" s="5" t="s">
        <v>21</v>
      </c>
      <c r="C54" s="5" t="s">
        <v>254</v>
      </c>
      <c r="D54" s="5"/>
      <c r="E54" s="5"/>
      <c r="F54" s="5"/>
      <c r="G54" s="5"/>
      <c r="H54" s="5">
        <v>0</v>
      </c>
      <c r="I54" s="6">
        <v>0.13</v>
      </c>
      <c r="J54" s="5"/>
      <c r="K54" s="5"/>
      <c r="L54" s="8"/>
      <c r="M54" s="9" t="s">
        <v>250</v>
      </c>
    </row>
    <row r="55" spans="1:13">
      <c r="A55" s="5"/>
      <c r="B55" s="5" t="s">
        <v>23</v>
      </c>
      <c r="C55" s="5" t="s">
        <v>255</v>
      </c>
      <c r="D55" s="5"/>
      <c r="E55" s="5"/>
      <c r="F55" s="5"/>
      <c r="G55" s="5"/>
      <c r="H55" s="5">
        <v>1</v>
      </c>
      <c r="I55" s="6">
        <v>0.13</v>
      </c>
      <c r="J55" s="10">
        <v>58</v>
      </c>
      <c r="K55" s="10">
        <v>58</v>
      </c>
      <c r="L55" s="8"/>
      <c r="M55" s="9"/>
    </row>
    <row r="56" spans="1:13">
      <c r="A56" s="5">
        <v>10</v>
      </c>
      <c r="B56" s="5" t="s">
        <v>261</v>
      </c>
      <c r="C56" s="5" t="s">
        <v>262</v>
      </c>
      <c r="D56" s="5">
        <v>12</v>
      </c>
      <c r="E56" s="5">
        <v>22</v>
      </c>
      <c r="F56" s="5" t="s">
        <v>34</v>
      </c>
      <c r="G56" s="5">
        <v>1.5</v>
      </c>
      <c r="H56" s="5">
        <v>2</v>
      </c>
      <c r="I56" s="6">
        <v>0.13</v>
      </c>
      <c r="J56" s="10">
        <v>22276</v>
      </c>
      <c r="K56" s="7">
        <v>44552</v>
      </c>
      <c r="L56" s="8"/>
      <c r="M56" s="9" t="s">
        <v>243</v>
      </c>
    </row>
    <row r="57" spans="1:13">
      <c r="A57" s="5"/>
      <c r="B57" s="5" t="s">
        <v>15</v>
      </c>
      <c r="C57" s="5"/>
      <c r="D57" s="5"/>
      <c r="E57" s="5"/>
      <c r="F57" s="5"/>
      <c r="G57" s="5"/>
      <c r="H57" s="5">
        <v>4</v>
      </c>
      <c r="I57" s="6">
        <v>0.13</v>
      </c>
      <c r="J57" s="2"/>
      <c r="K57" s="2"/>
      <c r="L57" s="8"/>
      <c r="M57" s="9" t="s">
        <v>244</v>
      </c>
    </row>
    <row r="58" spans="1:13">
      <c r="A58" s="5"/>
      <c r="B58" s="5" t="s">
        <v>17</v>
      </c>
      <c r="C58" s="5" t="s">
        <v>252</v>
      </c>
      <c r="D58" s="5"/>
      <c r="E58" s="5"/>
      <c r="F58" s="5"/>
      <c r="G58" s="5"/>
      <c r="H58" s="5">
        <v>4</v>
      </c>
      <c r="I58" s="6">
        <v>0.13</v>
      </c>
      <c r="J58" s="2"/>
      <c r="K58" s="2"/>
      <c r="L58" s="8"/>
      <c r="M58" s="9" t="s">
        <v>246</v>
      </c>
    </row>
    <row r="59" spans="1:13">
      <c r="A59" s="5"/>
      <c r="B59" s="5" t="s">
        <v>19</v>
      </c>
      <c r="C59" s="5" t="s">
        <v>247</v>
      </c>
      <c r="D59" s="5"/>
      <c r="E59" s="5"/>
      <c r="F59" s="5"/>
      <c r="G59" s="5"/>
      <c r="H59" s="5">
        <v>4</v>
      </c>
      <c r="I59" s="6">
        <v>0.13</v>
      </c>
      <c r="J59" s="2"/>
      <c r="K59" s="2"/>
      <c r="L59" s="8"/>
      <c r="M59" s="9" t="s">
        <v>248</v>
      </c>
    </row>
    <row r="60" ht="26" spans="1:13">
      <c r="A60" s="5"/>
      <c r="B60" s="5" t="s">
        <v>21</v>
      </c>
      <c r="C60" s="5" t="s">
        <v>249</v>
      </c>
      <c r="D60" s="5"/>
      <c r="E60" s="5"/>
      <c r="F60" s="5"/>
      <c r="G60" s="5"/>
      <c r="H60" s="5">
        <v>0</v>
      </c>
      <c r="I60" s="6">
        <v>0.13</v>
      </c>
      <c r="J60" s="5"/>
      <c r="K60" s="5"/>
      <c r="L60" s="8"/>
      <c r="M60" s="9" t="s">
        <v>250</v>
      </c>
    </row>
    <row r="61" spans="1:13">
      <c r="A61" s="5"/>
      <c r="B61" s="5" t="s">
        <v>23</v>
      </c>
      <c r="C61" s="5" t="s">
        <v>251</v>
      </c>
      <c r="D61" s="5"/>
      <c r="E61" s="5"/>
      <c r="F61" s="5"/>
      <c r="G61" s="5"/>
      <c r="H61" s="5">
        <v>2</v>
      </c>
      <c r="I61" s="6">
        <v>0.13</v>
      </c>
      <c r="J61" s="10">
        <v>58</v>
      </c>
      <c r="K61" s="10">
        <v>116</v>
      </c>
      <c r="L61" s="8"/>
      <c r="M61" s="9"/>
    </row>
    <row r="62" spans="1:13">
      <c r="A62" s="5">
        <v>11</v>
      </c>
      <c r="B62" s="5" t="s">
        <v>263</v>
      </c>
      <c r="C62" s="5" t="s">
        <v>264</v>
      </c>
      <c r="D62" s="5">
        <v>15</v>
      </c>
      <c r="E62" s="5">
        <v>20</v>
      </c>
      <c r="F62" s="5" t="s">
        <v>34</v>
      </c>
      <c r="G62" s="5">
        <v>2.5</v>
      </c>
      <c r="H62" s="5">
        <v>1</v>
      </c>
      <c r="I62" s="6">
        <v>0.13</v>
      </c>
      <c r="J62" s="10">
        <v>4736</v>
      </c>
      <c r="K62" s="7">
        <v>4736</v>
      </c>
      <c r="L62" s="8"/>
      <c r="M62" s="9" t="s">
        <v>243</v>
      </c>
    </row>
    <row r="63" spans="1:13">
      <c r="A63" s="5"/>
      <c r="B63" s="5" t="s">
        <v>15</v>
      </c>
      <c r="C63" s="5"/>
      <c r="D63" s="5"/>
      <c r="E63" s="5"/>
      <c r="F63" s="5"/>
      <c r="G63" s="5"/>
      <c r="H63" s="5">
        <v>1</v>
      </c>
      <c r="I63" s="6">
        <v>0.13</v>
      </c>
      <c r="J63" s="2"/>
      <c r="K63" s="2"/>
      <c r="L63" s="8"/>
      <c r="M63" s="9" t="s">
        <v>244</v>
      </c>
    </row>
    <row r="64" spans="1:13">
      <c r="A64" s="5"/>
      <c r="B64" s="5" t="s">
        <v>17</v>
      </c>
      <c r="C64" s="5" t="s">
        <v>252</v>
      </c>
      <c r="D64" s="5"/>
      <c r="E64" s="5"/>
      <c r="F64" s="5"/>
      <c r="G64" s="5"/>
      <c r="H64" s="5">
        <v>1</v>
      </c>
      <c r="I64" s="6">
        <v>0.13</v>
      </c>
      <c r="J64" s="2"/>
      <c r="K64" s="2"/>
      <c r="L64" s="8"/>
      <c r="M64" s="9" t="s">
        <v>246</v>
      </c>
    </row>
    <row r="65" spans="1:13">
      <c r="A65" s="5"/>
      <c r="B65" s="5" t="s">
        <v>19</v>
      </c>
      <c r="C65" s="5" t="s">
        <v>247</v>
      </c>
      <c r="D65" s="5"/>
      <c r="E65" s="5"/>
      <c r="F65" s="5"/>
      <c r="G65" s="5"/>
      <c r="H65" s="5">
        <v>1</v>
      </c>
      <c r="I65" s="6">
        <v>0.13</v>
      </c>
      <c r="J65" s="2"/>
      <c r="K65" s="2"/>
      <c r="L65" s="8"/>
      <c r="M65" s="9" t="s">
        <v>248</v>
      </c>
    </row>
    <row r="66" ht="26" spans="1:13">
      <c r="A66" s="5"/>
      <c r="B66" s="5" t="s">
        <v>21</v>
      </c>
      <c r="C66" s="5" t="s">
        <v>265</v>
      </c>
      <c r="D66" s="5"/>
      <c r="E66" s="5"/>
      <c r="F66" s="5"/>
      <c r="G66" s="5"/>
      <c r="H66" s="5">
        <v>0</v>
      </c>
      <c r="I66" s="6">
        <v>0.13</v>
      </c>
      <c r="J66" s="5"/>
      <c r="K66" s="5"/>
      <c r="L66" s="8"/>
      <c r="M66" s="9" t="s">
        <v>250</v>
      </c>
    </row>
    <row r="67" spans="1:13">
      <c r="A67" s="5"/>
      <c r="B67" s="5" t="s">
        <v>23</v>
      </c>
      <c r="C67" s="5" t="s">
        <v>266</v>
      </c>
      <c r="D67" s="5"/>
      <c r="E67" s="5"/>
      <c r="F67" s="5"/>
      <c r="G67" s="5"/>
      <c r="H67" s="5">
        <v>1</v>
      </c>
      <c r="I67" s="6">
        <v>0.13</v>
      </c>
      <c r="J67" s="2"/>
      <c r="K67" s="2"/>
      <c r="L67" s="5"/>
      <c r="M67" s="11"/>
    </row>
    <row r="68" spans="1:13">
      <c r="A68" s="5">
        <v>12</v>
      </c>
      <c r="B68" s="5" t="s">
        <v>267</v>
      </c>
      <c r="C68" s="5" t="s">
        <v>268</v>
      </c>
      <c r="D68" s="5"/>
      <c r="E68" s="5"/>
      <c r="F68" s="5"/>
      <c r="G68" s="5"/>
      <c r="H68" s="5">
        <v>1</v>
      </c>
      <c r="I68" s="6">
        <v>0.13</v>
      </c>
      <c r="J68" s="10">
        <v>740</v>
      </c>
      <c r="K68" s="10">
        <v>740</v>
      </c>
      <c r="L68" s="5"/>
      <c r="M68" s="11"/>
    </row>
    <row r="69" spans="1:13">
      <c r="A69" s="5"/>
      <c r="B69" s="5" t="s">
        <v>15</v>
      </c>
      <c r="C69" s="5"/>
      <c r="D69" s="5"/>
      <c r="E69" s="5"/>
      <c r="F69" s="5"/>
      <c r="G69" s="5"/>
      <c r="H69" s="5">
        <v>0</v>
      </c>
      <c r="I69" s="6">
        <v>0.13</v>
      </c>
      <c r="J69" s="10"/>
      <c r="K69" s="10"/>
      <c r="L69" s="5"/>
      <c r="M69" s="11"/>
    </row>
    <row r="70" spans="1:13">
      <c r="A70" s="5"/>
      <c r="B70" s="5" t="s">
        <v>17</v>
      </c>
      <c r="C70" s="5"/>
      <c r="D70" s="5"/>
      <c r="E70" s="5"/>
      <c r="F70" s="5"/>
      <c r="G70" s="5"/>
      <c r="H70" s="5">
        <v>0</v>
      </c>
      <c r="I70" s="6">
        <v>0.13</v>
      </c>
      <c r="J70" s="10"/>
      <c r="K70" s="10"/>
      <c r="L70" s="5"/>
      <c r="M70" s="11"/>
    </row>
    <row r="71" spans="1:13">
      <c r="A71" s="5"/>
      <c r="B71" s="5" t="s">
        <v>19</v>
      </c>
      <c r="C71" s="5"/>
      <c r="D71" s="5"/>
      <c r="E71" s="5"/>
      <c r="F71" s="5"/>
      <c r="G71" s="5"/>
      <c r="H71" s="5">
        <v>0</v>
      </c>
      <c r="I71" s="6">
        <v>0.13</v>
      </c>
      <c r="J71" s="5"/>
      <c r="K71" s="5"/>
      <c r="L71" s="5"/>
      <c r="M71" s="11"/>
    </row>
    <row r="72" spans="1:13">
      <c r="A72" s="5"/>
      <c r="B72" s="5" t="s">
        <v>21</v>
      </c>
      <c r="C72" s="5"/>
      <c r="D72" s="5"/>
      <c r="E72" s="5"/>
      <c r="F72" s="5"/>
      <c r="G72" s="5"/>
      <c r="H72" s="5">
        <v>0</v>
      </c>
      <c r="I72" s="6">
        <v>0.13</v>
      </c>
      <c r="J72" s="5"/>
      <c r="K72" s="5"/>
      <c r="L72" s="5"/>
      <c r="M72" s="11"/>
    </row>
    <row r="73" spans="1:13">
      <c r="A73" s="5"/>
      <c r="B73" s="5" t="s">
        <v>23</v>
      </c>
      <c r="C73" s="5"/>
      <c r="D73" s="5"/>
      <c r="E73" s="5"/>
      <c r="F73" s="5"/>
      <c r="G73" s="5"/>
      <c r="H73" s="5">
        <v>0</v>
      </c>
      <c r="I73" s="6">
        <v>0.13</v>
      </c>
      <c r="J73" s="5"/>
      <c r="K73" s="5"/>
      <c r="L73" s="5"/>
      <c r="M73" s="11"/>
    </row>
  </sheetData>
  <mergeCells count="72">
    <mergeCell ref="C3:G3"/>
    <mergeCell ref="C4:G4"/>
    <mergeCell ref="C5:G5"/>
    <mergeCell ref="C6:G6"/>
    <mergeCell ref="C7:G7"/>
    <mergeCell ref="C9:G9"/>
    <mergeCell ref="C10:G10"/>
    <mergeCell ref="C11:G11"/>
    <mergeCell ref="C12:G12"/>
    <mergeCell ref="C13:G13"/>
    <mergeCell ref="C15:G15"/>
    <mergeCell ref="C16:G16"/>
    <mergeCell ref="C17:G17"/>
    <mergeCell ref="C18:G18"/>
    <mergeCell ref="C19:G19"/>
    <mergeCell ref="C21:G21"/>
    <mergeCell ref="C22:G22"/>
    <mergeCell ref="C23:G23"/>
    <mergeCell ref="C24:G24"/>
    <mergeCell ref="C25:G25"/>
    <mergeCell ref="C27:G27"/>
    <mergeCell ref="C28:G28"/>
    <mergeCell ref="C29:G29"/>
    <mergeCell ref="C30:G30"/>
    <mergeCell ref="C31:G31"/>
    <mergeCell ref="C33:G33"/>
    <mergeCell ref="C34:G34"/>
    <mergeCell ref="C35:G35"/>
    <mergeCell ref="C36:G36"/>
    <mergeCell ref="C37:G37"/>
    <mergeCell ref="C39:G39"/>
    <mergeCell ref="C40:G40"/>
    <mergeCell ref="C41:G41"/>
    <mergeCell ref="C42:G42"/>
    <mergeCell ref="C43:G43"/>
    <mergeCell ref="C45:G45"/>
    <mergeCell ref="C46:G46"/>
    <mergeCell ref="C47:G47"/>
    <mergeCell ref="C48:G48"/>
    <mergeCell ref="C49:G49"/>
    <mergeCell ref="C51:G51"/>
    <mergeCell ref="C52:G52"/>
    <mergeCell ref="C53:G53"/>
    <mergeCell ref="C54:G54"/>
    <mergeCell ref="C55:G55"/>
    <mergeCell ref="C57:G57"/>
    <mergeCell ref="C58:G58"/>
    <mergeCell ref="C59:G59"/>
    <mergeCell ref="C60:G60"/>
    <mergeCell ref="C61:G61"/>
    <mergeCell ref="C63:G63"/>
    <mergeCell ref="C64:G64"/>
    <mergeCell ref="C65:G65"/>
    <mergeCell ref="C66:G66"/>
    <mergeCell ref="C67:G67"/>
    <mergeCell ref="C69:G69"/>
    <mergeCell ref="C70:G70"/>
    <mergeCell ref="C71:G71"/>
    <mergeCell ref="C72:G72"/>
    <mergeCell ref="C73:G73"/>
    <mergeCell ref="A2:A7"/>
    <mergeCell ref="A8:A13"/>
    <mergeCell ref="A14:A19"/>
    <mergeCell ref="A20:A25"/>
    <mergeCell ref="A26:A31"/>
    <mergeCell ref="A32:A37"/>
    <mergeCell ref="A38:A43"/>
    <mergeCell ref="A44:A49"/>
    <mergeCell ref="A50:A55"/>
    <mergeCell ref="A56:A61"/>
    <mergeCell ref="A62:A67"/>
    <mergeCell ref="A68:A7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汇总</vt:lpstr>
      <vt:lpstr>龙旗科技</vt:lpstr>
      <vt:lpstr>华泾镇D5D-1</vt:lpstr>
      <vt:lpstr>金鼎16-01</vt:lpstr>
      <vt:lpstr>中科院</vt:lpstr>
      <vt:lpstr>凤栖谷</vt:lpstr>
      <vt:lpstr>张江高科站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</cp:lastModifiedBy>
  <dcterms:created xsi:type="dcterms:W3CDTF">2023-02-09T02:41:00Z</dcterms:created>
  <dcterms:modified xsi:type="dcterms:W3CDTF">2026-05-13T06:22:50Z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B7C2D0BE0C1A421695496B624AA95BE4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